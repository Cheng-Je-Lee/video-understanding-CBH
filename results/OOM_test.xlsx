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4"/>
    <sheet state="visible" name="V2" sheetId="2" r:id="rId5"/>
    <sheet state="visible" name="V3" sheetId="3" r:id="rId6"/>
    <sheet state="visible" name="V4" sheetId="4" r:id="rId7"/>
    <sheet state="visible" name="總表待改" sheetId="5" r:id="rId8"/>
    <sheet state="visible" name="圖三-1" sheetId="6" r:id="rId9"/>
    <sheet state="visible" name="LLM版本紀錄" sheetId="7" r:id="rId10"/>
  </sheets>
  <definedNames/>
  <calcPr/>
  <extLst>
    <ext uri="GoogleSheetsCustomDataVersion2">
      <go:sheetsCustomData xmlns:go="http://customooxmlschemas.google.com/" r:id="rId11" roundtripDataChecksum="1IoF1RqKHT29mdoWHbz6AvNovslOcTt0aiQrAFsvoyc="/>
    </ext>
  </extLst>
</workbook>
</file>

<file path=xl/sharedStrings.xml><?xml version="1.0" encoding="utf-8"?>
<sst xmlns="http://schemas.openxmlformats.org/spreadsheetml/2006/main" count="5770" uniqueCount="107">
  <si>
    <t>video_id</t>
  </si>
  <si>
    <t>影片長度</t>
  </si>
  <si>
    <t>類型</t>
  </si>
  <si>
    <t>子類型</t>
  </si>
  <si>
    <t>Claude Q1</t>
  </si>
  <si>
    <t>Claude Q2</t>
  </si>
  <si>
    <t>Claude Q3</t>
  </si>
  <si>
    <t>Claude 總分</t>
  </si>
  <si>
    <t>Claude 正確率</t>
  </si>
  <si>
    <t>排除拒答</t>
  </si>
  <si>
    <t>Gemini Q1</t>
  </si>
  <si>
    <t>Gemini Q2</t>
  </si>
  <si>
    <t>Gemini Q3</t>
  </si>
  <si>
    <t>Gemini 總分</t>
  </si>
  <si>
    <t>Gemini 正確率</t>
  </si>
  <si>
    <t>Q1正確答案</t>
  </si>
  <si>
    <t>Q2正確答案</t>
  </si>
  <si>
    <t>Q3正確答案</t>
  </si>
  <si>
    <t>備註</t>
  </si>
  <si>
    <t>測試日期</t>
  </si>
  <si>
    <t>長</t>
  </si>
  <si>
    <t>中</t>
  </si>
  <si>
    <t>短</t>
  </si>
  <si>
    <t>總</t>
  </si>
  <si>
    <t>拒答數量</t>
  </si>
  <si>
    <t>long</t>
  </si>
  <si>
    <t>Knowledge</t>
  </si>
  <si>
    <t>Humanity &amp; History</t>
  </si>
  <si>
    <t>C</t>
  </si>
  <si>
    <t>D</t>
  </si>
  <si>
    <t>X</t>
  </si>
  <si>
    <t>A</t>
  </si>
  <si>
    <t>Biology &amp; Medicine</t>
  </si>
  <si>
    <t>B</t>
  </si>
  <si>
    <t>Astronomy</t>
  </si>
  <si>
    <t>Technology</t>
  </si>
  <si>
    <t>Film &amp; Television</t>
  </si>
  <si>
    <t>Animation</t>
  </si>
  <si>
    <t>Movie &amp; TV Show</t>
  </si>
  <si>
    <t xml:space="preserve"> Documentary</t>
  </si>
  <si>
    <t xml:space="preserve"> News Report</t>
  </si>
  <si>
    <t>Life Record</t>
  </si>
  <si>
    <t xml:space="preserve">Handicraft </t>
  </si>
  <si>
    <t>Food</t>
  </si>
  <si>
    <t>Daily Life</t>
  </si>
  <si>
    <t>Travel</t>
  </si>
  <si>
    <t>medium</t>
  </si>
  <si>
    <t xml:space="preserve">Documentary </t>
  </si>
  <si>
    <t>News Report</t>
  </si>
  <si>
    <t>short</t>
  </si>
  <si>
    <t xml:space="preserve">Technology </t>
  </si>
  <si>
    <t xml:space="preserve">News Report </t>
  </si>
  <si>
    <t>2026-04-14</t>
  </si>
  <si>
    <t>E</t>
  </si>
  <si>
    <t>V1 (CLIP cosine)</t>
  </si>
  <si>
    <t>V2</t>
  </si>
  <si>
    <t>V3</t>
  </si>
  <si>
    <t>V4</t>
  </si>
  <si>
    <t>Sonnect 3.6 T=0</t>
  </si>
  <si>
    <t>Sonnect 3.6 T=50</t>
  </si>
  <si>
    <t>Gemini 3 flash</t>
  </si>
  <si>
    <t>短片正確率</t>
  </si>
  <si>
    <t>中片正確率</t>
  </si>
  <si>
    <t>長片正確率</t>
  </si>
  <si>
    <t>共同正確率</t>
  </si>
  <si>
    <t>Claude-0</t>
  </si>
  <si>
    <t>Claude-50</t>
  </si>
  <si>
    <t>Gemini 3</t>
  </si>
  <si>
    <t>Video-MME編號</t>
  </si>
  <si>
    <t>長度分類</t>
  </si>
  <si>
    <t>主類別</t>
  </si>
  <si>
    <t>子類別</t>
  </si>
  <si>
    <t>V1</t>
  </si>
  <si>
    <t>分數</t>
  </si>
  <si>
    <t>綠(90%)</t>
  </si>
  <si>
    <t>綠(70%)</t>
  </si>
  <si>
    <t>綠(50%)</t>
  </si>
  <si>
    <t>綠(30%)</t>
  </si>
  <si>
    <t>綠(10%)</t>
  </si>
  <si>
    <t>紅(10%)</t>
  </si>
  <si>
    <t>紅(30%)</t>
  </si>
  <si>
    <t>紅(50%)</t>
  </si>
  <si>
    <t>紅(70%)</t>
  </si>
  <si>
    <t>紅(90%)</t>
  </si>
  <si>
    <t>窗口設計 理由能夠即時、S1~S3 、觀測參數、比較窗口和全影片的差距、回歸線 說明S2表性高</t>
  </si>
  <si>
    <t>1. 長條區間分布讀 列出窗口 與標準差的最佳解→之後要用校正</t>
  </si>
  <si>
    <t>2. 回歸線 S1~S3 三種影片類型→說明S2效果好 將採用</t>
  </si>
  <si>
    <t>定義使用工具、資料集、採集數據、分析方法</t>
  </si>
  <si>
    <t>1. 答題結果直條圖 (A) 無排除 3LLM*4V*3影片長度 (B) 有排除</t>
  </si>
  <si>
    <t>2. 壓縮與處理時間散布圖 4V (A)影片總偵 / 產生TOKEN 對 資訊處理時間，點狀顏色為答對率</t>
  </si>
  <si>
    <t>3. 熱力圖 (A) 影片長度-分類-子分類 vs 3LLM-4V</t>
  </si>
  <si>
    <t>獲得結論：純文字結果不佳 之後使用V1 V4獲得的真實照片做即時與短期分析</t>
  </si>
  <si>
    <t>原始資料</t>
  </si>
  <si>
    <t>依照分類</t>
  </si>
  <si>
    <t>C-0</t>
  </si>
  <si>
    <t>C-50</t>
  </si>
  <si>
    <t>G3</t>
  </si>
  <si>
    <t>短片拒答率</t>
  </si>
  <si>
    <t>中片拒答率</t>
  </si>
  <si>
    <t>長片拒答率</t>
  </si>
  <si>
    <t>Claude (free)</t>
  </si>
  <si>
    <t>Gemini (free)</t>
  </si>
  <si>
    <t>Chat-GPT</t>
  </si>
  <si>
    <t>sonnect 4.6</t>
  </si>
  <si>
    <t>Gemini 3 Flash</t>
  </si>
  <si>
    <t>GPT-5.3</t>
  </si>
  <si>
    <t>V-N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</si>
</sst>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8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FF00FF"/>
      <name val="Arial"/>
    </font>
    <font>
      <b/>
      <sz val="10.0"/>
      <color rgb="FFFF00FF"/>
      <name val="Arial"/>
    </font>
    <font>
      <sz val="11.0"/>
      <color theme="1"/>
      <name val="Calibri"/>
    </font>
    <font>
      <b/>
      <sz val="11.0"/>
      <color rgb="FFC0392B"/>
      <name val="Calibri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rgb="FFEFEFEF"/>
      <name val="Calibri"/>
      <scheme val="minor"/>
    </font>
    <font/>
    <font>
      <b/>
      <color theme="1"/>
      <name val="Calibri"/>
      <scheme val="minor"/>
    </font>
    <font>
      <b/>
      <color rgb="FFFF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EFEFEF"/>
        <bgColor rgb="FFEFEFE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3" fontId="5" numFmtId="9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vertical="center"/>
    </xf>
    <xf borderId="6" fillId="5" fontId="8" numFmtId="0" xfId="0" applyAlignment="1" applyBorder="1" applyFill="1" applyFont="1">
      <alignment horizontal="center"/>
    </xf>
    <xf borderId="6" fillId="6" fontId="9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vertical="center"/>
    </xf>
    <xf borderId="7" fillId="0" fontId="3" numFmtId="9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6" fillId="0" fontId="8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/>
    </xf>
    <xf borderId="1" fillId="0" fontId="10" numFmtId="0" xfId="0" applyAlignment="1" applyBorder="1" applyFont="1">
      <alignment horizontal="center"/>
    </xf>
    <xf borderId="1" fillId="0" fontId="11" numFmtId="9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vertical="bottom"/>
    </xf>
    <xf borderId="1" fillId="0" fontId="13" numFmtId="9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vertical="bottom"/>
    </xf>
    <xf borderId="6" fillId="5" fontId="8" numFmtId="0" xfId="0" applyAlignment="1" applyBorder="1" applyFont="1">
      <alignment horizontal="center"/>
    </xf>
    <xf borderId="6" fillId="6" fontId="9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  <xf borderId="4" fillId="7" fontId="2" numFmtId="0" xfId="0" applyAlignment="1" applyBorder="1" applyFill="1" applyFont="1">
      <alignment horizontal="center"/>
    </xf>
    <xf borderId="8" fillId="7" fontId="2" numFmtId="0" xfId="0" applyAlignment="1" applyBorder="1" applyFont="1">
      <alignment horizontal="center" readingOrder="0"/>
    </xf>
    <xf borderId="9" fillId="0" fontId="15" numFmtId="0" xfId="0" applyBorder="1" applyFont="1"/>
    <xf borderId="10" fillId="0" fontId="15" numFmtId="0" xfId="0" applyBorder="1" applyFont="1"/>
    <xf borderId="4" fillId="8" fontId="2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horizontal="center" readingOrder="0"/>
    </xf>
    <xf borderId="4" fillId="7" fontId="2" numFmtId="0" xfId="0" applyAlignment="1" applyBorder="1" applyFont="1">
      <alignment horizontal="center" readingOrder="0"/>
    </xf>
    <xf borderId="4" fillId="10" fontId="16" numFmtId="9" xfId="0" applyAlignment="1" applyBorder="1" applyFill="1" applyFont="1" applyNumberFormat="1">
      <alignment horizontal="center"/>
    </xf>
    <xf borderId="4" fillId="11" fontId="16" numFmtId="9" xfId="0" applyAlignment="1" applyBorder="1" applyFill="1" applyFont="1" applyNumberFormat="1">
      <alignment horizontal="center"/>
    </xf>
    <xf borderId="4" fillId="9" fontId="16" numFmtId="9" xfId="0" applyAlignment="1" applyBorder="1" applyFont="1" applyNumberFormat="1">
      <alignment horizontal="center"/>
    </xf>
    <xf borderId="4" fillId="7" fontId="17" numFmtId="0" xfId="0" applyAlignment="1" applyBorder="1" applyFont="1">
      <alignment horizontal="center" readingOrder="0"/>
    </xf>
    <xf borderId="4" fillId="10" fontId="17" numFmtId="9" xfId="0" applyAlignment="1" applyBorder="1" applyFont="1" applyNumberFormat="1">
      <alignment horizontal="center"/>
    </xf>
    <xf borderId="4" fillId="11" fontId="17" numFmtId="9" xfId="0" applyAlignment="1" applyBorder="1" applyFont="1" applyNumberFormat="1">
      <alignment horizontal="center"/>
    </xf>
    <xf borderId="4" fillId="9" fontId="17" numFmtId="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9" xfId="0" applyAlignment="1" applyBorder="1" applyFont="1" applyNumberFormat="1">
      <alignment horizontal="center" vertical="center"/>
    </xf>
    <xf borderId="12" fillId="0" fontId="15" numFmtId="0" xfId="0" applyBorder="1" applyFont="1"/>
    <xf borderId="13" fillId="0" fontId="15" numFmtId="0" xfId="0" applyBorder="1" applyFont="1"/>
    <xf borderId="4" fillId="0" fontId="2" numFmtId="0" xfId="0" applyAlignment="1" applyBorder="1" applyFont="1">
      <alignment readingOrder="0"/>
    </xf>
    <xf borderId="4" fillId="0" fontId="2" numFmtId="0" xfId="0" applyBorder="1" applyFont="1"/>
    <xf borderId="8" fillId="0" fontId="2" numFmtId="0" xfId="0" applyAlignment="1" applyBorder="1" applyFont="1">
      <alignment readingOrder="0"/>
    </xf>
    <xf borderId="4" fillId="0" fontId="2" numFmtId="0" xfId="0" applyBorder="1" applyFont="1"/>
    <xf borderId="4" fillId="0" fontId="2" numFmtId="9" xfId="0" applyBorder="1" applyFont="1" applyNumberFormat="1"/>
    <xf borderId="8" fillId="8" fontId="2" numFmtId="0" xfId="0" applyAlignment="1" applyBorder="1" applyFont="1">
      <alignment horizontal="center" readingOrder="0"/>
    </xf>
    <xf borderId="8" fillId="9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9" xfId="0" applyAlignment="1" applyBorder="1" applyFont="1" applyNumberFormat="1">
      <alignment horizontal="center" readingOrder="0"/>
    </xf>
    <xf borderId="0" fillId="12" fontId="2" numFmtId="0" xfId="0" applyFill="1" applyFont="1"/>
    <xf borderId="4" fillId="12" fontId="2" numFmtId="0" xfId="0" applyAlignment="1" applyBorder="1" applyFont="1">
      <alignment horizontal="center" readingOrder="0"/>
    </xf>
    <xf borderId="0" fillId="12" fontId="2" numFmtId="0" xfId="0" applyAlignment="1" applyFont="1">
      <alignment readingOrder="0"/>
    </xf>
    <xf borderId="0" fillId="12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0"/>
    <col customWidth="1" min="2" max="2" width="16.71"/>
    <col customWidth="1" min="3" max="3" width="12.0"/>
    <col customWidth="1" min="4" max="4" width="18.0"/>
    <col customWidth="1" min="5" max="24" width="10.0"/>
    <col customWidth="1" min="25" max="25" width="20.0"/>
    <col customWidth="1" min="26" max="26" width="12.0"/>
    <col customWidth="1" min="27" max="28" width="8.71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4</v>
      </c>
      <c r="L1" s="1" t="s">
        <v>5</v>
      </c>
      <c r="M1" s="1" t="s">
        <v>6</v>
      </c>
      <c r="N1" s="1" t="s">
        <v>7</v>
      </c>
      <c r="O1" s="3" t="s">
        <v>8</v>
      </c>
      <c r="P1" s="4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3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5"/>
      <c r="AB1" s="5"/>
    </row>
    <row r="2" ht="19.5" customHeight="1">
      <c r="A2" s="6" t="s">
        <v>20</v>
      </c>
      <c r="B2" s="6"/>
      <c r="C2" s="7"/>
      <c r="D2" s="7"/>
      <c r="E2" s="6"/>
      <c r="F2" s="6"/>
      <c r="G2" s="6"/>
      <c r="H2" s="8"/>
      <c r="I2" s="9">
        <f t="shared" ref="I2:J2" si="1">AVERAGE(I6:I17)</f>
        <v>0.25</v>
      </c>
      <c r="J2" s="9">
        <f t="shared" si="1"/>
        <v>0.5</v>
      </c>
      <c r="K2" s="6"/>
      <c r="L2" s="6"/>
      <c r="M2" s="6"/>
      <c r="N2" s="8"/>
      <c r="O2" s="9">
        <f t="shared" ref="O2:P2" si="2">AVERAGE(O6:O17)</f>
        <v>0.5</v>
      </c>
      <c r="P2" s="9">
        <f t="shared" si="2"/>
        <v>0.5416666667</v>
      </c>
      <c r="Q2" s="10"/>
      <c r="R2" s="6"/>
      <c r="S2" s="6"/>
      <c r="T2" s="8"/>
      <c r="U2" s="9">
        <f>AVERAGE(U6:U17)</f>
        <v>0.5833333333</v>
      </c>
      <c r="V2" s="11"/>
      <c r="W2" s="12"/>
      <c r="X2" s="12"/>
      <c r="Y2" s="13"/>
      <c r="Z2" s="7"/>
      <c r="AA2" s="5"/>
      <c r="AB2" s="5"/>
    </row>
    <row r="3" ht="19.5" customHeight="1">
      <c r="A3" s="6" t="s">
        <v>21</v>
      </c>
      <c r="B3" s="6"/>
      <c r="C3" s="7"/>
      <c r="D3" s="7"/>
      <c r="E3" s="6"/>
      <c r="F3" s="6"/>
      <c r="G3" s="6"/>
      <c r="H3" s="8"/>
      <c r="I3" s="9">
        <f t="shared" ref="I3:J3" si="3">AVERAGE(I18:I53)</f>
        <v>0.2407407407</v>
      </c>
      <c r="J3" s="9">
        <f t="shared" si="3"/>
        <v>0.7361111111</v>
      </c>
      <c r="K3" s="6"/>
      <c r="L3" s="6"/>
      <c r="M3" s="6"/>
      <c r="N3" s="8"/>
      <c r="O3" s="9">
        <f t="shared" ref="O3:P3" si="4">AVERAGE(O18:O53)</f>
        <v>0.5925925926</v>
      </c>
      <c r="P3" s="9">
        <f t="shared" si="4"/>
        <v>0.6018518519</v>
      </c>
      <c r="Q3" s="10"/>
      <c r="R3" s="6"/>
      <c r="S3" s="6"/>
      <c r="T3" s="8"/>
      <c r="U3" s="9">
        <f>AVERAGE(U18:U53)</f>
        <v>0.6296296296</v>
      </c>
      <c r="V3" s="11"/>
      <c r="W3" s="12"/>
      <c r="X3" s="12"/>
      <c r="Y3" s="13"/>
      <c r="Z3" s="7"/>
      <c r="AA3" s="5"/>
      <c r="AB3" s="5"/>
    </row>
    <row r="4" ht="19.5" customHeight="1">
      <c r="A4" s="6" t="s">
        <v>22</v>
      </c>
      <c r="B4" s="6"/>
      <c r="C4" s="7"/>
      <c r="D4" s="7"/>
      <c r="E4" s="6" t="s">
        <v>20</v>
      </c>
      <c r="F4" s="6" t="s">
        <v>21</v>
      </c>
      <c r="G4" s="6" t="s">
        <v>22</v>
      </c>
      <c r="H4" s="8"/>
      <c r="I4" s="9">
        <f t="shared" ref="I4:J4" si="5">AVERAGE(I54:I89)</f>
        <v>0.1481481481</v>
      </c>
      <c r="J4" s="9">
        <f t="shared" si="5"/>
        <v>0.675</v>
      </c>
      <c r="K4" s="6" t="s">
        <v>20</v>
      </c>
      <c r="L4" s="6" t="s">
        <v>21</v>
      </c>
      <c r="M4" s="6" t="s">
        <v>22</v>
      </c>
      <c r="N4" s="8"/>
      <c r="O4" s="9">
        <f t="shared" ref="O4:P4" si="6">AVERAGE(O54:O89)</f>
        <v>0.5277777778</v>
      </c>
      <c r="P4" s="9">
        <f t="shared" si="6"/>
        <v>0.5416666667</v>
      </c>
      <c r="Q4" s="6" t="s">
        <v>20</v>
      </c>
      <c r="R4" s="6" t="s">
        <v>21</v>
      </c>
      <c r="S4" s="6" t="s">
        <v>22</v>
      </c>
      <c r="T4" s="8"/>
      <c r="U4" s="9">
        <f>AVERAGE(U54:U89)</f>
        <v>0.712962963</v>
      </c>
      <c r="V4" s="11"/>
      <c r="W4" s="12"/>
      <c r="X4" s="12"/>
      <c r="Y4" s="13"/>
      <c r="Z4" s="7"/>
      <c r="AA4" s="5"/>
      <c r="AB4" s="5"/>
    </row>
    <row r="5" ht="19.5" customHeight="1">
      <c r="A5" s="6" t="s">
        <v>23</v>
      </c>
      <c r="B5" s="6"/>
      <c r="C5" s="7"/>
      <c r="D5" s="14" t="s">
        <v>24</v>
      </c>
      <c r="E5" s="6">
        <f>COUNTIF(E6:G17, "X")</f>
        <v>21</v>
      </c>
      <c r="F5" s="6">
        <f>COUNTIF(F18:G53, "X")</f>
        <v>50</v>
      </c>
      <c r="G5" s="6">
        <f>COUNTIF(F54:G89, "X")</f>
        <v>59</v>
      </c>
      <c r="H5" s="15"/>
      <c r="I5" s="9">
        <f t="shared" ref="I5:J5" si="7">AVERAGE(I6:I89)</f>
        <v>0.2023809524</v>
      </c>
      <c r="J5" s="9">
        <f t="shared" si="7"/>
        <v>0.6697530864</v>
      </c>
      <c r="K5" s="6">
        <f>COUNTIF(K6:M17, "X")</f>
        <v>2</v>
      </c>
      <c r="L5" s="6">
        <f>COUNTIF(L18:M53, "X")</f>
        <v>0</v>
      </c>
      <c r="M5" s="6">
        <f>COUNTIF(L54:M89, "X")</f>
        <v>4</v>
      </c>
      <c r="N5" s="15"/>
      <c r="O5" s="9">
        <f t="shared" ref="O5:P5" si="8">AVERAGE(O6:O89)</f>
        <v>0.5515873016</v>
      </c>
      <c r="P5" s="9">
        <f t="shared" si="8"/>
        <v>0.5674603175</v>
      </c>
      <c r="Q5" s="6">
        <f>COUNTIF(Q6:S17, "X")</f>
        <v>0</v>
      </c>
      <c r="R5" s="6">
        <f>COUNTIF(R18:S53, "X")</f>
        <v>1</v>
      </c>
      <c r="S5" s="6">
        <f>COUNTIF(R54:S89, "X")</f>
        <v>0</v>
      </c>
      <c r="T5" s="8"/>
      <c r="U5" s="9">
        <f>AVERAGE(U6:U89)</f>
        <v>0.6587301587</v>
      </c>
      <c r="V5" s="11"/>
      <c r="W5" s="12"/>
      <c r="X5" s="12"/>
      <c r="Y5" s="13"/>
      <c r="Z5" s="7"/>
      <c r="AA5" s="5"/>
      <c r="AB5" s="5"/>
    </row>
    <row r="6" ht="19.5" customHeight="1">
      <c r="A6" s="6">
        <v>601.0</v>
      </c>
      <c r="B6" s="6" t="s">
        <v>25</v>
      </c>
      <c r="C6" s="7" t="s">
        <v>26</v>
      </c>
      <c r="D6" s="7" t="s">
        <v>27</v>
      </c>
      <c r="E6" s="16" t="s">
        <v>28</v>
      </c>
      <c r="F6" s="16" t="s">
        <v>29</v>
      </c>
      <c r="G6" s="17" t="s">
        <v>30</v>
      </c>
      <c r="H6" s="18">
        <f t="shared" ref="H6:H7" si="9">IF(E6="","",IF(E6=V6,1,0))+IF(F6="","",IF(F6=W6,1,0))+IF(G6="","",IF(G6=X6,1,0))</f>
        <v>1</v>
      </c>
      <c r="I6" s="19">
        <f t="shared" ref="I6:I7" si="10">IF(H6="","",H6/3)</f>
        <v>0.3333333333</v>
      </c>
      <c r="J6" s="20">
        <f t="shared" ref="J6:J89" si="11">IFERROR((IF(E6=V6,1,0) + IF(F6=W6,1,0) + IF(G6=X6,1,0)) / COUNTIFS(E6:G6, "&lt;&gt;X", E6:G6, "&lt;&gt;"), "XXX")</f>
        <v>0.5</v>
      </c>
      <c r="K6" s="16" t="s">
        <v>28</v>
      </c>
      <c r="L6" s="16" t="s">
        <v>29</v>
      </c>
      <c r="M6" s="16" t="s">
        <v>31</v>
      </c>
      <c r="N6" s="18">
        <f t="shared" ref="N6:N89" si="12">IF(K6="","",IF(K6=V6,1,0))+IF(L6="","",IF(L6=W6,1,0))+IF(M6="","",IF(M6=X6,1,0))</f>
        <v>2</v>
      </c>
      <c r="O6" s="19">
        <f t="shared" ref="O6:O7" si="13">IF(N6="","",N6/3)</f>
        <v>0.6666666667</v>
      </c>
      <c r="P6" s="20">
        <f t="shared" ref="P6:P89" si="14">IFERROR((IF(K6=V6,1,0) + IF(L6=W6,1,0) + IF(M6=X6,1,0)) / COUNTIFS(K6:M6, "&lt;&gt;X", K6:M6, "&lt;&gt;"), "XXX")</f>
        <v>0.6666666667</v>
      </c>
      <c r="Q6" s="6" t="s">
        <v>28</v>
      </c>
      <c r="R6" s="6" t="s">
        <v>29</v>
      </c>
      <c r="S6" s="6" t="s">
        <v>31</v>
      </c>
      <c r="T6" s="18">
        <f t="shared" ref="T6:T7" si="15">IF(Q6="","",IF(Q6=V6,1,0))+IF(R6="","",IF(R6=W6,1,0))+IF(S6="","",IF(S6=X6,1,0))</f>
        <v>2</v>
      </c>
      <c r="U6" s="19">
        <f t="shared" ref="U6:U7" si="16">IF(T6="","",T6/3)</f>
        <v>0.6666666667</v>
      </c>
      <c r="V6" s="12" t="s">
        <v>31</v>
      </c>
      <c r="W6" s="12" t="s">
        <v>29</v>
      </c>
      <c r="X6" s="12" t="s">
        <v>31</v>
      </c>
      <c r="Y6" s="13">
        <v>46130.0</v>
      </c>
      <c r="Z6" s="13">
        <v>46130.0</v>
      </c>
      <c r="AA6" s="5"/>
      <c r="AB6" s="5"/>
    </row>
    <row r="7">
      <c r="A7" s="21">
        <v>622.0</v>
      </c>
      <c r="B7" s="6" t="s">
        <v>25</v>
      </c>
      <c r="C7" s="7" t="s">
        <v>26</v>
      </c>
      <c r="D7" s="21" t="s">
        <v>32</v>
      </c>
      <c r="E7" s="22" t="s">
        <v>31</v>
      </c>
      <c r="F7" s="22" t="s">
        <v>33</v>
      </c>
      <c r="G7" s="22" t="s">
        <v>29</v>
      </c>
      <c r="H7" s="18">
        <f t="shared" si="9"/>
        <v>3</v>
      </c>
      <c r="I7" s="23">
        <f t="shared" si="10"/>
        <v>1</v>
      </c>
      <c r="J7" s="20">
        <f t="shared" si="11"/>
        <v>1</v>
      </c>
      <c r="K7" s="22" t="s">
        <v>31</v>
      </c>
      <c r="L7" s="22" t="s">
        <v>33</v>
      </c>
      <c r="M7" s="22" t="s">
        <v>29</v>
      </c>
      <c r="N7" s="18">
        <f t="shared" si="12"/>
        <v>3</v>
      </c>
      <c r="O7" s="23">
        <f t="shared" si="13"/>
        <v>1</v>
      </c>
      <c r="P7" s="20">
        <f t="shared" si="14"/>
        <v>1</v>
      </c>
      <c r="Q7" s="6" t="s">
        <v>31</v>
      </c>
      <c r="R7" s="6" t="s">
        <v>29</v>
      </c>
      <c r="S7" s="6" t="s">
        <v>29</v>
      </c>
      <c r="T7" s="18">
        <f t="shared" si="15"/>
        <v>2</v>
      </c>
      <c r="U7" s="23">
        <f t="shared" si="16"/>
        <v>0.6666666667</v>
      </c>
      <c r="V7" s="12" t="s">
        <v>31</v>
      </c>
      <c r="W7" s="12" t="s">
        <v>33</v>
      </c>
      <c r="X7" s="12" t="s">
        <v>29</v>
      </c>
      <c r="Y7" s="24">
        <v>46130.0</v>
      </c>
      <c r="Z7" s="13">
        <v>46130.0</v>
      </c>
      <c r="AA7" s="5"/>
      <c r="AB7" s="5"/>
    </row>
    <row r="8">
      <c r="A8" s="21">
        <v>641.0</v>
      </c>
      <c r="B8" s="6" t="s">
        <v>25</v>
      </c>
      <c r="C8" s="7" t="s">
        <v>26</v>
      </c>
      <c r="D8" s="21" t="s">
        <v>34</v>
      </c>
      <c r="E8" s="16" t="s">
        <v>29</v>
      </c>
      <c r="F8" s="17" t="s">
        <v>30</v>
      </c>
      <c r="G8" s="17" t="s">
        <v>30</v>
      </c>
      <c r="H8" s="25">
        <f t="shared" ref="H8:H89" si="17">IF(E8="","",IF(E8=V8,1,0))+IF(F8="","",IF(F8=W8,1,0))+IF(G8="","",IF(G8=X8,1,0))</f>
        <v>0</v>
      </c>
      <c r="I8" s="26">
        <f t="shared" ref="I8:I89" si="18">IF(H8="","",H8/3)</f>
        <v>0</v>
      </c>
      <c r="J8" s="20">
        <f t="shared" si="11"/>
        <v>0</v>
      </c>
      <c r="K8" s="16" t="s">
        <v>29</v>
      </c>
      <c r="L8" s="17" t="s">
        <v>30</v>
      </c>
      <c r="M8" s="16" t="s">
        <v>33</v>
      </c>
      <c r="N8" s="18">
        <f t="shared" si="12"/>
        <v>1</v>
      </c>
      <c r="O8" s="26">
        <f t="shared" ref="O8:O89" si="19">IF(N8="","",N8/3)</f>
        <v>0.3333333333</v>
      </c>
      <c r="P8" s="20">
        <f t="shared" si="14"/>
        <v>0.5</v>
      </c>
      <c r="Q8" s="27" t="s">
        <v>29</v>
      </c>
      <c r="R8" s="27" t="s">
        <v>33</v>
      </c>
      <c r="S8" s="27" t="s">
        <v>33</v>
      </c>
      <c r="T8" s="25">
        <f t="shared" ref="T8:T89" si="20">IF(Q8="","",IF(Q8=V8,1,0))+IF(R8="","",IF(R8=W8,1,0))+IF(S8="","",IF(S8=X8,1,0))</f>
        <v>1</v>
      </c>
      <c r="U8" s="26">
        <f t="shared" ref="U8:U89" si="21">IF(T8="","",T8/3)</f>
        <v>0.3333333333</v>
      </c>
      <c r="V8" s="28" t="s">
        <v>31</v>
      </c>
      <c r="W8" s="28" t="s">
        <v>31</v>
      </c>
      <c r="X8" s="28" t="s">
        <v>33</v>
      </c>
      <c r="Y8" s="13">
        <v>46130.0</v>
      </c>
      <c r="Z8" s="13">
        <v>46130.0</v>
      </c>
      <c r="AA8" s="5"/>
      <c r="AB8" s="5"/>
    </row>
    <row r="9">
      <c r="A9" s="21">
        <v>681.0</v>
      </c>
      <c r="B9" s="6" t="s">
        <v>25</v>
      </c>
      <c r="C9" s="7" t="s">
        <v>26</v>
      </c>
      <c r="D9" s="21" t="s">
        <v>35</v>
      </c>
      <c r="E9" s="22" t="s">
        <v>29</v>
      </c>
      <c r="F9" s="17" t="s">
        <v>30</v>
      </c>
      <c r="G9" s="17" t="s">
        <v>30</v>
      </c>
      <c r="H9" s="25">
        <f t="shared" si="17"/>
        <v>0</v>
      </c>
      <c r="I9" s="26">
        <f t="shared" si="18"/>
        <v>0</v>
      </c>
      <c r="J9" s="20">
        <f t="shared" si="11"/>
        <v>0</v>
      </c>
      <c r="K9" s="22" t="s">
        <v>29</v>
      </c>
      <c r="L9" s="22" t="s">
        <v>28</v>
      </c>
      <c r="M9" s="22" t="s">
        <v>29</v>
      </c>
      <c r="N9" s="18">
        <f t="shared" si="12"/>
        <v>1</v>
      </c>
      <c r="O9" s="26">
        <f t="shared" si="19"/>
        <v>0.3333333333</v>
      </c>
      <c r="P9" s="20">
        <f t="shared" si="14"/>
        <v>0.3333333333</v>
      </c>
      <c r="Q9" s="27" t="s">
        <v>31</v>
      </c>
      <c r="R9" s="27" t="s">
        <v>28</v>
      </c>
      <c r="S9" s="27" t="s">
        <v>29</v>
      </c>
      <c r="T9" s="25">
        <f t="shared" si="20"/>
        <v>2</v>
      </c>
      <c r="U9" s="26">
        <f t="shared" si="21"/>
        <v>0.6666666667</v>
      </c>
      <c r="V9" s="28" t="s">
        <v>31</v>
      </c>
      <c r="W9" s="28" t="s">
        <v>28</v>
      </c>
      <c r="X9" s="28" t="s">
        <v>33</v>
      </c>
      <c r="Y9" s="13">
        <v>46130.0</v>
      </c>
      <c r="Z9" s="5"/>
      <c r="AA9" s="5"/>
      <c r="AB9" s="5"/>
    </row>
    <row r="10">
      <c r="A10" s="21">
        <v>692.0</v>
      </c>
      <c r="B10" s="6" t="s">
        <v>25</v>
      </c>
      <c r="C10" s="21" t="s">
        <v>36</v>
      </c>
      <c r="D10" s="21" t="s">
        <v>37</v>
      </c>
      <c r="E10" s="17" t="s">
        <v>30</v>
      </c>
      <c r="F10" s="17" t="s">
        <v>30</v>
      </c>
      <c r="G10" s="17" t="s">
        <v>30</v>
      </c>
      <c r="H10" s="25">
        <f t="shared" si="17"/>
        <v>0</v>
      </c>
      <c r="I10" s="26">
        <f t="shared" si="18"/>
        <v>0</v>
      </c>
      <c r="J10" s="20" t="str">
        <f t="shared" si="11"/>
        <v>XXX</v>
      </c>
      <c r="K10" s="16" t="s">
        <v>29</v>
      </c>
      <c r="L10" s="16" t="s">
        <v>33</v>
      </c>
      <c r="M10" s="16" t="s">
        <v>31</v>
      </c>
      <c r="N10" s="18">
        <f t="shared" si="12"/>
        <v>1</v>
      </c>
      <c r="O10" s="26">
        <f t="shared" si="19"/>
        <v>0.3333333333</v>
      </c>
      <c r="P10" s="20">
        <f t="shared" si="14"/>
        <v>0.3333333333</v>
      </c>
      <c r="Q10" s="27" t="s">
        <v>31</v>
      </c>
      <c r="R10" s="27" t="s">
        <v>28</v>
      </c>
      <c r="S10" s="27" t="s">
        <v>29</v>
      </c>
      <c r="T10" s="25">
        <f t="shared" si="20"/>
        <v>1</v>
      </c>
      <c r="U10" s="26">
        <f t="shared" si="21"/>
        <v>0.3333333333</v>
      </c>
      <c r="V10" s="28" t="s">
        <v>33</v>
      </c>
      <c r="W10" s="28" t="s">
        <v>33</v>
      </c>
      <c r="X10" s="28" t="s">
        <v>29</v>
      </c>
      <c r="Y10" s="24">
        <v>46130.0</v>
      </c>
      <c r="Z10" s="5"/>
      <c r="AA10" s="5"/>
      <c r="AB10" s="5"/>
    </row>
    <row r="11">
      <c r="A11" s="21">
        <v>702.0</v>
      </c>
      <c r="B11" s="6" t="s">
        <v>25</v>
      </c>
      <c r="C11" s="21" t="s">
        <v>36</v>
      </c>
      <c r="D11" s="21" t="s">
        <v>38</v>
      </c>
      <c r="E11" s="17" t="s">
        <v>30</v>
      </c>
      <c r="F11" s="17" t="s">
        <v>30</v>
      </c>
      <c r="G11" s="17" t="s">
        <v>30</v>
      </c>
      <c r="H11" s="29">
        <f t="shared" si="17"/>
        <v>0</v>
      </c>
      <c r="I11" s="30">
        <f t="shared" si="18"/>
        <v>0</v>
      </c>
      <c r="J11" s="20" t="str">
        <f t="shared" si="11"/>
        <v>XXX</v>
      </c>
      <c r="K11" s="22" t="s">
        <v>29</v>
      </c>
      <c r="L11" s="22" t="s">
        <v>33</v>
      </c>
      <c r="M11" s="22" t="s">
        <v>28</v>
      </c>
      <c r="N11" s="18">
        <f t="shared" si="12"/>
        <v>3</v>
      </c>
      <c r="O11" s="30">
        <f t="shared" si="19"/>
        <v>1</v>
      </c>
      <c r="P11" s="20">
        <f t="shared" si="14"/>
        <v>1</v>
      </c>
      <c r="Q11" s="31" t="s">
        <v>29</v>
      </c>
      <c r="R11" s="31" t="s">
        <v>28</v>
      </c>
      <c r="S11" s="31" t="s">
        <v>28</v>
      </c>
      <c r="T11" s="29">
        <f t="shared" si="20"/>
        <v>2</v>
      </c>
      <c r="U11" s="30">
        <f t="shared" si="21"/>
        <v>0.6666666667</v>
      </c>
      <c r="V11" s="32" t="s">
        <v>29</v>
      </c>
      <c r="W11" s="32" t="s">
        <v>33</v>
      </c>
      <c r="X11" s="32" t="s">
        <v>28</v>
      </c>
      <c r="Y11" s="13">
        <v>46130.0</v>
      </c>
      <c r="Z11" s="5"/>
      <c r="AA11" s="5"/>
      <c r="AB11" s="5"/>
    </row>
    <row r="12">
      <c r="A12" s="21">
        <v>711.0</v>
      </c>
      <c r="B12" s="6" t="s">
        <v>25</v>
      </c>
      <c r="C12" s="21" t="s">
        <v>36</v>
      </c>
      <c r="D12" s="21" t="s">
        <v>39</v>
      </c>
      <c r="E12" s="17" t="s">
        <v>30</v>
      </c>
      <c r="F12" s="16" t="s">
        <v>33</v>
      </c>
      <c r="G12" s="17" t="s">
        <v>30</v>
      </c>
      <c r="H12" s="29">
        <f t="shared" si="17"/>
        <v>0</v>
      </c>
      <c r="I12" s="30">
        <f t="shared" si="18"/>
        <v>0</v>
      </c>
      <c r="J12" s="20">
        <f t="shared" si="11"/>
        <v>0</v>
      </c>
      <c r="K12" s="16" t="s">
        <v>33</v>
      </c>
      <c r="L12" s="16" t="s">
        <v>33</v>
      </c>
      <c r="M12" s="16" t="s">
        <v>28</v>
      </c>
      <c r="N12" s="18">
        <f t="shared" si="12"/>
        <v>0</v>
      </c>
      <c r="O12" s="30">
        <f t="shared" si="19"/>
        <v>0</v>
      </c>
      <c r="P12" s="20">
        <f t="shared" si="14"/>
        <v>0</v>
      </c>
      <c r="Q12" s="31" t="s">
        <v>28</v>
      </c>
      <c r="R12" s="31" t="s">
        <v>33</v>
      </c>
      <c r="S12" s="31" t="s">
        <v>29</v>
      </c>
      <c r="T12" s="29">
        <f t="shared" si="20"/>
        <v>2</v>
      </c>
      <c r="U12" s="30">
        <f t="shared" si="21"/>
        <v>0.6666666667</v>
      </c>
      <c r="V12" s="32" t="s">
        <v>28</v>
      </c>
      <c r="W12" s="32" t="s">
        <v>28</v>
      </c>
      <c r="X12" s="32" t="s">
        <v>29</v>
      </c>
      <c r="Y12" s="13">
        <v>46130.0</v>
      </c>
      <c r="Z12" s="5"/>
      <c r="AA12" s="5"/>
      <c r="AB12" s="5"/>
    </row>
    <row r="13">
      <c r="A13" s="21">
        <v>721.0</v>
      </c>
      <c r="B13" s="6" t="s">
        <v>25</v>
      </c>
      <c r="C13" s="21" t="s">
        <v>36</v>
      </c>
      <c r="D13" s="21" t="s">
        <v>40</v>
      </c>
      <c r="E13" s="22" t="s">
        <v>33</v>
      </c>
      <c r="F13" s="22" t="s">
        <v>29</v>
      </c>
      <c r="G13" s="17" t="s">
        <v>30</v>
      </c>
      <c r="H13" s="29">
        <f t="shared" si="17"/>
        <v>2</v>
      </c>
      <c r="I13" s="30">
        <f t="shared" si="18"/>
        <v>0.6666666667</v>
      </c>
      <c r="J13" s="20">
        <f t="shared" si="11"/>
        <v>1</v>
      </c>
      <c r="K13" s="22" t="s">
        <v>33</v>
      </c>
      <c r="L13" s="22" t="s">
        <v>29</v>
      </c>
      <c r="M13" s="22" t="s">
        <v>33</v>
      </c>
      <c r="N13" s="18">
        <f t="shared" si="12"/>
        <v>2</v>
      </c>
      <c r="O13" s="30">
        <f t="shared" si="19"/>
        <v>0.6666666667</v>
      </c>
      <c r="P13" s="20">
        <f t="shared" si="14"/>
        <v>0.6666666667</v>
      </c>
      <c r="Q13" s="31" t="s">
        <v>33</v>
      </c>
      <c r="R13" s="31" t="s">
        <v>29</v>
      </c>
      <c r="S13" s="31" t="s">
        <v>31</v>
      </c>
      <c r="T13" s="29">
        <f t="shared" si="20"/>
        <v>3</v>
      </c>
      <c r="U13" s="30">
        <f t="shared" si="21"/>
        <v>1</v>
      </c>
      <c r="V13" s="32" t="s">
        <v>33</v>
      </c>
      <c r="W13" s="32" t="s">
        <v>29</v>
      </c>
      <c r="X13" s="32" t="s">
        <v>31</v>
      </c>
      <c r="Y13" s="24">
        <v>46130.0</v>
      </c>
      <c r="Z13" s="5"/>
      <c r="AA13" s="5"/>
      <c r="AB13" s="5"/>
    </row>
    <row r="14">
      <c r="A14" s="21">
        <v>821.0</v>
      </c>
      <c r="B14" s="6" t="s">
        <v>25</v>
      </c>
      <c r="C14" s="21" t="s">
        <v>41</v>
      </c>
      <c r="D14" s="21" t="s">
        <v>42</v>
      </c>
      <c r="E14" s="17" t="s">
        <v>30</v>
      </c>
      <c r="F14" s="16" t="s">
        <v>29</v>
      </c>
      <c r="G14" s="16" t="s">
        <v>31</v>
      </c>
      <c r="H14" s="29">
        <f t="shared" si="17"/>
        <v>1</v>
      </c>
      <c r="I14" s="30">
        <f t="shared" si="18"/>
        <v>0.3333333333</v>
      </c>
      <c r="J14" s="20">
        <f t="shared" si="11"/>
        <v>0.5</v>
      </c>
      <c r="K14" s="16" t="s">
        <v>33</v>
      </c>
      <c r="L14" s="16" t="s">
        <v>29</v>
      </c>
      <c r="M14" s="16" t="s">
        <v>31</v>
      </c>
      <c r="N14" s="18">
        <f t="shared" si="12"/>
        <v>2</v>
      </c>
      <c r="O14" s="30">
        <f t="shared" si="19"/>
        <v>0.6666666667</v>
      </c>
      <c r="P14" s="20">
        <f t="shared" si="14"/>
        <v>0.6666666667</v>
      </c>
      <c r="Q14" s="31" t="s">
        <v>33</v>
      </c>
      <c r="R14" s="31" t="s">
        <v>28</v>
      </c>
      <c r="S14" s="31" t="s">
        <v>29</v>
      </c>
      <c r="T14" s="29">
        <f t="shared" si="20"/>
        <v>2</v>
      </c>
      <c r="U14" s="30">
        <f t="shared" si="21"/>
        <v>0.6666666667</v>
      </c>
      <c r="V14" s="32" t="s">
        <v>33</v>
      </c>
      <c r="W14" s="32" t="s">
        <v>28</v>
      </c>
      <c r="X14" s="32" t="s">
        <v>31</v>
      </c>
      <c r="Y14" s="13">
        <v>46130.0</v>
      </c>
      <c r="Z14" s="5"/>
      <c r="AA14" s="5"/>
      <c r="AB14" s="5"/>
    </row>
    <row r="15">
      <c r="A15" s="21">
        <v>831.0</v>
      </c>
      <c r="B15" s="6" t="s">
        <v>25</v>
      </c>
      <c r="C15" s="21" t="s">
        <v>41</v>
      </c>
      <c r="D15" s="21" t="s">
        <v>43</v>
      </c>
      <c r="E15" s="22" t="s">
        <v>31</v>
      </c>
      <c r="F15" s="17" t="s">
        <v>30</v>
      </c>
      <c r="G15" s="17" t="s">
        <v>30</v>
      </c>
      <c r="H15" s="29">
        <f t="shared" si="17"/>
        <v>0</v>
      </c>
      <c r="I15" s="30">
        <f t="shared" si="18"/>
        <v>0</v>
      </c>
      <c r="J15" s="20">
        <f t="shared" si="11"/>
        <v>0</v>
      </c>
      <c r="K15" s="22" t="s">
        <v>31</v>
      </c>
      <c r="L15" s="22" t="s">
        <v>29</v>
      </c>
      <c r="M15" s="22" t="s">
        <v>29</v>
      </c>
      <c r="N15" s="18">
        <f t="shared" si="12"/>
        <v>0</v>
      </c>
      <c r="O15" s="30">
        <f t="shared" si="19"/>
        <v>0</v>
      </c>
      <c r="P15" s="20">
        <f t="shared" si="14"/>
        <v>0</v>
      </c>
      <c r="Q15" s="31" t="s">
        <v>28</v>
      </c>
      <c r="R15" s="31" t="s">
        <v>29</v>
      </c>
      <c r="S15" s="31" t="s">
        <v>28</v>
      </c>
      <c r="T15" s="29">
        <f t="shared" si="20"/>
        <v>1</v>
      </c>
      <c r="U15" s="30">
        <f t="shared" si="21"/>
        <v>0.3333333333</v>
      </c>
      <c r="V15" s="32" t="s">
        <v>28</v>
      </c>
      <c r="W15" s="32" t="s">
        <v>33</v>
      </c>
      <c r="X15" s="32" t="s">
        <v>31</v>
      </c>
      <c r="Y15" s="13">
        <v>46131.0</v>
      </c>
      <c r="Z15" s="5"/>
      <c r="AA15" s="5"/>
      <c r="AB15" s="5"/>
    </row>
    <row r="16">
      <c r="A16" s="21">
        <v>854.0</v>
      </c>
      <c r="B16" s="6" t="s">
        <v>25</v>
      </c>
      <c r="C16" s="21" t="s">
        <v>41</v>
      </c>
      <c r="D16" s="21" t="s">
        <v>44</v>
      </c>
      <c r="E16" s="16" t="s">
        <v>28</v>
      </c>
      <c r="F16" s="17" t="s">
        <v>30</v>
      </c>
      <c r="G16" s="17" t="s">
        <v>30</v>
      </c>
      <c r="H16" s="29">
        <f t="shared" si="17"/>
        <v>1</v>
      </c>
      <c r="I16" s="30">
        <f t="shared" si="18"/>
        <v>0.3333333333</v>
      </c>
      <c r="J16" s="20">
        <f t="shared" si="11"/>
        <v>1</v>
      </c>
      <c r="K16" s="16" t="s">
        <v>28</v>
      </c>
      <c r="L16" s="16" t="s">
        <v>28</v>
      </c>
      <c r="M16" s="16" t="s">
        <v>33</v>
      </c>
      <c r="N16" s="18">
        <f t="shared" si="12"/>
        <v>1</v>
      </c>
      <c r="O16" s="30">
        <f t="shared" si="19"/>
        <v>0.3333333333</v>
      </c>
      <c r="P16" s="20">
        <f t="shared" si="14"/>
        <v>0.3333333333</v>
      </c>
      <c r="Q16" s="31" t="s">
        <v>28</v>
      </c>
      <c r="R16" s="31" t="s">
        <v>31</v>
      </c>
      <c r="S16" s="31" t="s">
        <v>28</v>
      </c>
      <c r="T16" s="29">
        <f t="shared" si="20"/>
        <v>2</v>
      </c>
      <c r="U16" s="30">
        <f t="shared" si="21"/>
        <v>0.6666666667</v>
      </c>
      <c r="V16" s="32" t="s">
        <v>28</v>
      </c>
      <c r="W16" s="32" t="s">
        <v>31</v>
      </c>
      <c r="X16" s="32" t="s">
        <v>29</v>
      </c>
      <c r="Y16" s="24">
        <v>46131.0</v>
      </c>
      <c r="Z16" s="5"/>
      <c r="AA16" s="5"/>
      <c r="AB16" s="5"/>
    </row>
    <row r="17">
      <c r="A17" s="21">
        <v>861.0</v>
      </c>
      <c r="B17" s="6" t="s">
        <v>25</v>
      </c>
      <c r="C17" s="21" t="s">
        <v>41</v>
      </c>
      <c r="D17" s="21" t="s">
        <v>45</v>
      </c>
      <c r="E17" s="17" t="s">
        <v>30</v>
      </c>
      <c r="F17" s="17" t="s">
        <v>30</v>
      </c>
      <c r="G17" s="22" t="s">
        <v>28</v>
      </c>
      <c r="H17" s="29">
        <f t="shared" si="17"/>
        <v>1</v>
      </c>
      <c r="I17" s="30">
        <f t="shared" si="18"/>
        <v>0.3333333333</v>
      </c>
      <c r="J17" s="20">
        <f t="shared" si="11"/>
        <v>1</v>
      </c>
      <c r="K17" s="22" t="s">
        <v>29</v>
      </c>
      <c r="L17" s="17" t="s">
        <v>30</v>
      </c>
      <c r="M17" s="22" t="s">
        <v>28</v>
      </c>
      <c r="N17" s="18">
        <f t="shared" si="12"/>
        <v>2</v>
      </c>
      <c r="O17" s="30">
        <f t="shared" si="19"/>
        <v>0.6666666667</v>
      </c>
      <c r="P17" s="20">
        <f t="shared" si="14"/>
        <v>1</v>
      </c>
      <c r="Q17" s="31" t="s">
        <v>33</v>
      </c>
      <c r="R17" s="31" t="s">
        <v>28</v>
      </c>
      <c r="S17" s="31" t="s">
        <v>28</v>
      </c>
      <c r="T17" s="29">
        <f t="shared" si="20"/>
        <v>1</v>
      </c>
      <c r="U17" s="30">
        <f t="shared" si="21"/>
        <v>0.3333333333</v>
      </c>
      <c r="V17" s="32" t="s">
        <v>29</v>
      </c>
      <c r="W17" s="32" t="s">
        <v>33</v>
      </c>
      <c r="X17" s="32" t="s">
        <v>28</v>
      </c>
      <c r="Y17" s="13">
        <v>46131.0</v>
      </c>
      <c r="Z17" s="5"/>
      <c r="AA17" s="5"/>
      <c r="AB17" s="5"/>
    </row>
    <row r="18">
      <c r="A18" s="21">
        <v>301.0</v>
      </c>
      <c r="B18" s="21" t="s">
        <v>46</v>
      </c>
      <c r="C18" s="21" t="s">
        <v>26</v>
      </c>
      <c r="D18" s="21" t="s">
        <v>27</v>
      </c>
      <c r="E18" s="17" t="s">
        <v>30</v>
      </c>
      <c r="F18" s="16" t="s">
        <v>31</v>
      </c>
      <c r="G18" s="17" t="s">
        <v>30</v>
      </c>
      <c r="H18" s="29">
        <f t="shared" si="17"/>
        <v>1</v>
      </c>
      <c r="I18" s="30">
        <f t="shared" si="18"/>
        <v>0.3333333333</v>
      </c>
      <c r="J18" s="20">
        <f t="shared" si="11"/>
        <v>1</v>
      </c>
      <c r="K18" s="17" t="s">
        <v>30</v>
      </c>
      <c r="L18" s="16" t="s">
        <v>31</v>
      </c>
      <c r="M18" s="16" t="s">
        <v>29</v>
      </c>
      <c r="N18" s="18">
        <f t="shared" si="12"/>
        <v>2</v>
      </c>
      <c r="O18" s="30">
        <f t="shared" si="19"/>
        <v>0.6666666667</v>
      </c>
      <c r="P18" s="20">
        <f t="shared" si="14"/>
        <v>1</v>
      </c>
      <c r="Q18" s="31" t="s">
        <v>29</v>
      </c>
      <c r="R18" s="31" t="s">
        <v>31</v>
      </c>
      <c r="S18" s="31" t="s">
        <v>29</v>
      </c>
      <c r="T18" s="29">
        <f t="shared" si="20"/>
        <v>2</v>
      </c>
      <c r="U18" s="30">
        <f t="shared" si="21"/>
        <v>0.6666666667</v>
      </c>
      <c r="V18" s="32" t="s">
        <v>28</v>
      </c>
      <c r="W18" s="32" t="s">
        <v>31</v>
      </c>
      <c r="X18" s="32" t="s">
        <v>29</v>
      </c>
      <c r="Y18" s="24">
        <v>46131.0</v>
      </c>
      <c r="Z18" s="5"/>
      <c r="AA18" s="5"/>
      <c r="AB18" s="5"/>
    </row>
    <row r="19">
      <c r="A19" s="21">
        <v>302.0</v>
      </c>
      <c r="B19" s="21" t="s">
        <v>46</v>
      </c>
      <c r="C19" s="21" t="s">
        <v>26</v>
      </c>
      <c r="D19" s="21" t="s">
        <v>27</v>
      </c>
      <c r="E19" s="22" t="s">
        <v>28</v>
      </c>
      <c r="F19" s="17" t="s">
        <v>30</v>
      </c>
      <c r="G19" s="17" t="s">
        <v>30</v>
      </c>
      <c r="H19" s="29">
        <f t="shared" si="17"/>
        <v>1</v>
      </c>
      <c r="I19" s="30">
        <f t="shared" si="18"/>
        <v>0.3333333333</v>
      </c>
      <c r="J19" s="20">
        <f t="shared" si="11"/>
        <v>1</v>
      </c>
      <c r="K19" s="22" t="s">
        <v>28</v>
      </c>
      <c r="L19" s="22" t="s">
        <v>28</v>
      </c>
      <c r="M19" s="22" t="s">
        <v>28</v>
      </c>
      <c r="N19" s="18">
        <f t="shared" si="12"/>
        <v>3</v>
      </c>
      <c r="O19" s="30">
        <f t="shared" si="19"/>
        <v>1</v>
      </c>
      <c r="P19" s="20">
        <f t="shared" si="14"/>
        <v>1</v>
      </c>
      <c r="Q19" s="31" t="s">
        <v>28</v>
      </c>
      <c r="R19" s="31" t="s">
        <v>28</v>
      </c>
      <c r="S19" s="31" t="s">
        <v>31</v>
      </c>
      <c r="T19" s="29">
        <f t="shared" si="20"/>
        <v>2</v>
      </c>
      <c r="U19" s="30">
        <f t="shared" si="21"/>
        <v>0.6666666667</v>
      </c>
      <c r="V19" s="32" t="s">
        <v>28</v>
      </c>
      <c r="W19" s="32" t="s">
        <v>28</v>
      </c>
      <c r="X19" s="32" t="s">
        <v>28</v>
      </c>
      <c r="Y19" s="13">
        <v>46131.0</v>
      </c>
      <c r="Z19" s="5"/>
      <c r="AA19" s="5"/>
      <c r="AB19" s="5"/>
    </row>
    <row r="20">
      <c r="A20" s="21">
        <v>303.0</v>
      </c>
      <c r="B20" s="21" t="s">
        <v>46</v>
      </c>
      <c r="C20" s="21" t="s">
        <v>26</v>
      </c>
      <c r="D20" s="21" t="s">
        <v>27</v>
      </c>
      <c r="E20" s="17" t="s">
        <v>30</v>
      </c>
      <c r="F20" s="17" t="s">
        <v>30</v>
      </c>
      <c r="G20" s="16" t="s">
        <v>33</v>
      </c>
      <c r="H20" s="29">
        <f t="shared" si="17"/>
        <v>0</v>
      </c>
      <c r="I20" s="30">
        <f t="shared" si="18"/>
        <v>0</v>
      </c>
      <c r="J20" s="20">
        <f t="shared" si="11"/>
        <v>0</v>
      </c>
      <c r="K20" s="17" t="s">
        <v>30</v>
      </c>
      <c r="L20" s="16" t="s">
        <v>29</v>
      </c>
      <c r="M20" s="16" t="s">
        <v>33</v>
      </c>
      <c r="N20" s="18">
        <f t="shared" si="12"/>
        <v>0</v>
      </c>
      <c r="O20" s="30">
        <f t="shared" si="19"/>
        <v>0</v>
      </c>
      <c r="P20" s="20">
        <f t="shared" si="14"/>
        <v>0</v>
      </c>
      <c r="Q20" s="31" t="s">
        <v>33</v>
      </c>
      <c r="R20" s="31" t="s">
        <v>28</v>
      </c>
      <c r="S20" s="31" t="s">
        <v>29</v>
      </c>
      <c r="T20" s="29">
        <f t="shared" si="20"/>
        <v>1</v>
      </c>
      <c r="U20" s="30">
        <f t="shared" si="21"/>
        <v>0.3333333333</v>
      </c>
      <c r="V20" s="32" t="s">
        <v>28</v>
      </c>
      <c r="W20" s="32" t="s">
        <v>33</v>
      </c>
      <c r="X20" s="32" t="s">
        <v>29</v>
      </c>
      <c r="Y20" s="24">
        <v>46131.0</v>
      </c>
      <c r="Z20" s="5"/>
      <c r="AA20" s="5"/>
      <c r="AB20" s="5"/>
    </row>
    <row r="21">
      <c r="A21" s="21">
        <v>321.0</v>
      </c>
      <c r="B21" s="21" t="s">
        <v>46</v>
      </c>
      <c r="C21" s="21" t="s">
        <v>26</v>
      </c>
      <c r="D21" s="21" t="s">
        <v>32</v>
      </c>
      <c r="E21" s="22" t="s">
        <v>31</v>
      </c>
      <c r="F21" s="22" t="s">
        <v>31</v>
      </c>
      <c r="G21" s="22" t="s">
        <v>33</v>
      </c>
      <c r="H21" s="29">
        <f t="shared" si="17"/>
        <v>2</v>
      </c>
      <c r="I21" s="30">
        <f t="shared" si="18"/>
        <v>0.6666666667</v>
      </c>
      <c r="J21" s="20">
        <f t="shared" si="11"/>
        <v>0.6666666667</v>
      </c>
      <c r="K21" s="22" t="s">
        <v>31</v>
      </c>
      <c r="L21" s="22" t="s">
        <v>31</v>
      </c>
      <c r="M21" s="22" t="s">
        <v>33</v>
      </c>
      <c r="N21" s="18">
        <f t="shared" si="12"/>
        <v>2</v>
      </c>
      <c r="O21" s="30">
        <f t="shared" si="19"/>
        <v>0.6666666667</v>
      </c>
      <c r="P21" s="20">
        <f t="shared" si="14"/>
        <v>0.6666666667</v>
      </c>
      <c r="Q21" s="31" t="s">
        <v>31</v>
      </c>
      <c r="R21" s="31" t="s">
        <v>33</v>
      </c>
      <c r="S21" s="31" t="s">
        <v>33</v>
      </c>
      <c r="T21" s="29">
        <f t="shared" si="20"/>
        <v>2</v>
      </c>
      <c r="U21" s="30">
        <f t="shared" si="21"/>
        <v>0.6666666667</v>
      </c>
      <c r="V21" s="32" t="s">
        <v>31</v>
      </c>
      <c r="W21" s="32" t="s">
        <v>29</v>
      </c>
      <c r="X21" s="32" t="s">
        <v>33</v>
      </c>
      <c r="Y21" s="13">
        <v>46131.0</v>
      </c>
      <c r="Z21" s="5"/>
      <c r="AA21" s="5"/>
      <c r="AB21" s="5"/>
    </row>
    <row r="22">
      <c r="A22" s="21">
        <v>322.0</v>
      </c>
      <c r="B22" s="21" t="s">
        <v>46</v>
      </c>
      <c r="C22" s="21" t="s">
        <v>26</v>
      </c>
      <c r="D22" s="21" t="s">
        <v>32</v>
      </c>
      <c r="E22" s="16" t="s">
        <v>28</v>
      </c>
      <c r="F22" s="17" t="s">
        <v>30</v>
      </c>
      <c r="G22" s="17" t="s">
        <v>30</v>
      </c>
      <c r="H22" s="29">
        <f t="shared" si="17"/>
        <v>1</v>
      </c>
      <c r="I22" s="30">
        <f t="shared" si="18"/>
        <v>0.3333333333</v>
      </c>
      <c r="J22" s="20">
        <f t="shared" si="11"/>
        <v>1</v>
      </c>
      <c r="K22" s="16" t="s">
        <v>28</v>
      </c>
      <c r="L22" s="16" t="s">
        <v>31</v>
      </c>
      <c r="M22" s="16" t="s">
        <v>29</v>
      </c>
      <c r="N22" s="18">
        <f t="shared" si="12"/>
        <v>3</v>
      </c>
      <c r="O22" s="30">
        <f t="shared" si="19"/>
        <v>1</v>
      </c>
      <c r="P22" s="20">
        <f t="shared" si="14"/>
        <v>1</v>
      </c>
      <c r="Q22" s="31" t="s">
        <v>28</v>
      </c>
      <c r="R22" s="31" t="s">
        <v>31</v>
      </c>
      <c r="S22" s="31" t="s">
        <v>31</v>
      </c>
      <c r="T22" s="29">
        <f t="shared" si="20"/>
        <v>2</v>
      </c>
      <c r="U22" s="30">
        <f t="shared" si="21"/>
        <v>0.6666666667</v>
      </c>
      <c r="V22" s="32" t="s">
        <v>28</v>
      </c>
      <c r="W22" s="32" t="s">
        <v>31</v>
      </c>
      <c r="X22" s="32" t="s">
        <v>29</v>
      </c>
      <c r="Y22" s="24">
        <v>46131.0</v>
      </c>
      <c r="Z22" s="5"/>
      <c r="AA22" s="5"/>
      <c r="AB22" s="5"/>
    </row>
    <row r="23">
      <c r="A23" s="21">
        <v>323.0</v>
      </c>
      <c r="B23" s="21" t="s">
        <v>46</v>
      </c>
      <c r="C23" s="21" t="s">
        <v>26</v>
      </c>
      <c r="D23" s="21" t="s">
        <v>32</v>
      </c>
      <c r="E23" s="22" t="s">
        <v>31</v>
      </c>
      <c r="F23" s="22" t="s">
        <v>31</v>
      </c>
      <c r="G23" s="17" t="s">
        <v>30</v>
      </c>
      <c r="H23" s="29">
        <f t="shared" si="17"/>
        <v>1</v>
      </c>
      <c r="I23" s="30">
        <f t="shared" si="18"/>
        <v>0.3333333333</v>
      </c>
      <c r="J23" s="20">
        <f t="shared" si="11"/>
        <v>0.5</v>
      </c>
      <c r="K23" s="22" t="s">
        <v>31</v>
      </c>
      <c r="L23" s="22" t="s">
        <v>31</v>
      </c>
      <c r="M23" s="22" t="s">
        <v>33</v>
      </c>
      <c r="N23" s="18">
        <f t="shared" si="12"/>
        <v>1</v>
      </c>
      <c r="O23" s="30">
        <f t="shared" si="19"/>
        <v>0.3333333333</v>
      </c>
      <c r="P23" s="20">
        <f t="shared" si="14"/>
        <v>0.3333333333</v>
      </c>
      <c r="Q23" s="31" t="s">
        <v>31</v>
      </c>
      <c r="R23" s="31" t="s">
        <v>33</v>
      </c>
      <c r="S23" s="31" t="s">
        <v>28</v>
      </c>
      <c r="T23" s="29">
        <f t="shared" si="20"/>
        <v>3</v>
      </c>
      <c r="U23" s="30">
        <f t="shared" si="21"/>
        <v>1</v>
      </c>
      <c r="V23" s="32" t="s">
        <v>31</v>
      </c>
      <c r="W23" s="32" t="s">
        <v>33</v>
      </c>
      <c r="X23" s="32" t="s">
        <v>28</v>
      </c>
      <c r="Y23" s="13">
        <v>46131.0</v>
      </c>
      <c r="Z23" s="5"/>
      <c r="AA23" s="5"/>
      <c r="AB23" s="5"/>
    </row>
    <row r="24">
      <c r="A24" s="21">
        <v>341.0</v>
      </c>
      <c r="B24" s="21" t="s">
        <v>46</v>
      </c>
      <c r="C24" s="21" t="s">
        <v>26</v>
      </c>
      <c r="D24" s="21" t="s">
        <v>34</v>
      </c>
      <c r="E24" s="16" t="s">
        <v>31</v>
      </c>
      <c r="F24" s="16" t="s">
        <v>33</v>
      </c>
      <c r="G24" s="17" t="s">
        <v>30</v>
      </c>
      <c r="H24" s="29">
        <f t="shared" si="17"/>
        <v>1</v>
      </c>
      <c r="I24" s="30">
        <f t="shared" si="18"/>
        <v>0.3333333333</v>
      </c>
      <c r="J24" s="20">
        <f t="shared" si="11"/>
        <v>0.5</v>
      </c>
      <c r="K24" s="16" t="s">
        <v>31</v>
      </c>
      <c r="L24" s="16" t="s">
        <v>33</v>
      </c>
      <c r="M24" s="16" t="s">
        <v>29</v>
      </c>
      <c r="N24" s="18">
        <f t="shared" si="12"/>
        <v>1</v>
      </c>
      <c r="O24" s="30">
        <f t="shared" si="19"/>
        <v>0.3333333333</v>
      </c>
      <c r="P24" s="20">
        <f t="shared" si="14"/>
        <v>0.3333333333</v>
      </c>
      <c r="Q24" s="31" t="s">
        <v>31</v>
      </c>
      <c r="R24" s="31" t="s">
        <v>33</v>
      </c>
      <c r="S24" s="31" t="s">
        <v>33</v>
      </c>
      <c r="T24" s="29">
        <f t="shared" si="20"/>
        <v>2</v>
      </c>
      <c r="U24" s="30">
        <f t="shared" si="21"/>
        <v>0.6666666667</v>
      </c>
      <c r="V24" s="32" t="s">
        <v>31</v>
      </c>
      <c r="W24" s="32" t="s">
        <v>28</v>
      </c>
      <c r="X24" s="32" t="s">
        <v>33</v>
      </c>
      <c r="Y24" s="24">
        <v>46131.0</v>
      </c>
      <c r="Z24" s="5"/>
      <c r="AA24" s="5"/>
      <c r="AB24" s="5"/>
    </row>
    <row r="25" ht="15.75" customHeight="1">
      <c r="A25" s="21">
        <v>343.0</v>
      </c>
      <c r="B25" s="21" t="s">
        <v>46</v>
      </c>
      <c r="C25" s="21" t="s">
        <v>26</v>
      </c>
      <c r="D25" s="21" t="s">
        <v>34</v>
      </c>
      <c r="E25" s="17" t="s">
        <v>30</v>
      </c>
      <c r="F25" s="17" t="s">
        <v>30</v>
      </c>
      <c r="G25" s="17" t="s">
        <v>30</v>
      </c>
      <c r="H25" s="29">
        <f t="shared" si="17"/>
        <v>0</v>
      </c>
      <c r="I25" s="30">
        <f t="shared" si="18"/>
        <v>0</v>
      </c>
      <c r="J25" s="20" t="str">
        <f t="shared" si="11"/>
        <v>XXX</v>
      </c>
      <c r="K25" s="22" t="s">
        <v>33</v>
      </c>
      <c r="L25" s="22" t="s">
        <v>29</v>
      </c>
      <c r="M25" s="22" t="s">
        <v>31</v>
      </c>
      <c r="N25" s="18">
        <f t="shared" si="12"/>
        <v>2</v>
      </c>
      <c r="O25" s="30">
        <f t="shared" si="19"/>
        <v>0.6666666667</v>
      </c>
      <c r="P25" s="20">
        <f t="shared" si="14"/>
        <v>0.6666666667</v>
      </c>
      <c r="Q25" s="31" t="s">
        <v>28</v>
      </c>
      <c r="R25" s="31" t="s">
        <v>33</v>
      </c>
      <c r="S25" s="31" t="s">
        <v>30</v>
      </c>
      <c r="T25" s="29">
        <f t="shared" si="20"/>
        <v>0</v>
      </c>
      <c r="U25" s="30">
        <f t="shared" si="21"/>
        <v>0</v>
      </c>
      <c r="V25" s="32" t="s">
        <v>33</v>
      </c>
      <c r="W25" s="32" t="s">
        <v>28</v>
      </c>
      <c r="X25" s="32" t="s">
        <v>31</v>
      </c>
      <c r="Y25" s="13">
        <v>46131.0</v>
      </c>
      <c r="Z25" s="5"/>
      <c r="AA25" s="5"/>
      <c r="AB25" s="5"/>
    </row>
    <row r="26" ht="15.75" customHeight="1">
      <c r="A26" s="21">
        <v>344.0</v>
      </c>
      <c r="B26" s="21" t="s">
        <v>46</v>
      </c>
      <c r="C26" s="21" t="s">
        <v>26</v>
      </c>
      <c r="D26" s="21" t="s">
        <v>34</v>
      </c>
      <c r="E26" s="17" t="s">
        <v>30</v>
      </c>
      <c r="F26" s="17" t="s">
        <v>30</v>
      </c>
      <c r="G26" s="17" t="s">
        <v>30</v>
      </c>
      <c r="H26" s="29">
        <f t="shared" si="17"/>
        <v>0</v>
      </c>
      <c r="I26" s="30">
        <f t="shared" si="18"/>
        <v>0</v>
      </c>
      <c r="J26" s="20" t="str">
        <f t="shared" si="11"/>
        <v>XXX</v>
      </c>
      <c r="K26" s="16" t="s">
        <v>28</v>
      </c>
      <c r="L26" s="16" t="s">
        <v>33</v>
      </c>
      <c r="M26" s="16" t="s">
        <v>33</v>
      </c>
      <c r="N26" s="18">
        <f t="shared" si="12"/>
        <v>2</v>
      </c>
      <c r="O26" s="30">
        <f t="shared" si="19"/>
        <v>0.6666666667</v>
      </c>
      <c r="P26" s="20">
        <f t="shared" si="14"/>
        <v>0.6666666667</v>
      </c>
      <c r="Q26" s="31" t="s">
        <v>28</v>
      </c>
      <c r="R26" s="31" t="s">
        <v>29</v>
      </c>
      <c r="S26" s="31" t="s">
        <v>33</v>
      </c>
      <c r="T26" s="29">
        <f t="shared" si="20"/>
        <v>3</v>
      </c>
      <c r="U26" s="30">
        <f t="shared" si="21"/>
        <v>1</v>
      </c>
      <c r="V26" s="32" t="s">
        <v>28</v>
      </c>
      <c r="W26" s="32" t="s">
        <v>29</v>
      </c>
      <c r="X26" s="32" t="s">
        <v>33</v>
      </c>
      <c r="Y26" s="24">
        <v>46131.0</v>
      </c>
      <c r="Z26" s="5"/>
      <c r="AA26" s="5"/>
      <c r="AB26" s="5"/>
    </row>
    <row r="27" ht="15.75" customHeight="1">
      <c r="A27" s="21">
        <v>381.0</v>
      </c>
      <c r="B27" s="21" t="s">
        <v>46</v>
      </c>
      <c r="C27" s="21" t="s">
        <v>26</v>
      </c>
      <c r="D27" s="21" t="s">
        <v>35</v>
      </c>
      <c r="E27" s="17" t="s">
        <v>30</v>
      </c>
      <c r="F27" s="22" t="s">
        <v>33</v>
      </c>
      <c r="G27" s="17" t="s">
        <v>30</v>
      </c>
      <c r="H27" s="29">
        <f t="shared" si="17"/>
        <v>1</v>
      </c>
      <c r="I27" s="30">
        <f t="shared" si="18"/>
        <v>0.3333333333</v>
      </c>
      <c r="J27" s="20">
        <f t="shared" si="11"/>
        <v>1</v>
      </c>
      <c r="K27" s="22" t="s">
        <v>29</v>
      </c>
      <c r="L27" s="22" t="s">
        <v>33</v>
      </c>
      <c r="M27" s="22" t="s">
        <v>31</v>
      </c>
      <c r="N27" s="18">
        <f t="shared" si="12"/>
        <v>2</v>
      </c>
      <c r="O27" s="30">
        <f t="shared" si="19"/>
        <v>0.6666666667</v>
      </c>
      <c r="P27" s="20">
        <f t="shared" si="14"/>
        <v>0.6666666667</v>
      </c>
      <c r="Q27" s="31" t="s">
        <v>29</v>
      </c>
      <c r="R27" s="31" t="s">
        <v>33</v>
      </c>
      <c r="S27" s="31" t="s">
        <v>33</v>
      </c>
      <c r="T27" s="29">
        <f t="shared" si="20"/>
        <v>3</v>
      </c>
      <c r="U27" s="30">
        <f t="shared" si="21"/>
        <v>1</v>
      </c>
      <c r="V27" s="32" t="s">
        <v>29</v>
      </c>
      <c r="W27" s="32" t="s">
        <v>33</v>
      </c>
      <c r="X27" s="32" t="s">
        <v>33</v>
      </c>
      <c r="Y27" s="13">
        <v>46131.0</v>
      </c>
      <c r="Z27" s="5"/>
      <c r="AA27" s="5"/>
      <c r="AB27" s="5"/>
    </row>
    <row r="28" ht="15.75" customHeight="1">
      <c r="A28" s="21">
        <v>382.0</v>
      </c>
      <c r="B28" s="21" t="s">
        <v>46</v>
      </c>
      <c r="C28" s="21" t="s">
        <v>26</v>
      </c>
      <c r="D28" s="21" t="s">
        <v>35</v>
      </c>
      <c r="E28" s="16" t="s">
        <v>33</v>
      </c>
      <c r="F28" s="17" t="s">
        <v>30</v>
      </c>
      <c r="G28" s="17" t="s">
        <v>30</v>
      </c>
      <c r="H28" s="29">
        <f t="shared" si="17"/>
        <v>0</v>
      </c>
      <c r="I28" s="30">
        <f t="shared" si="18"/>
        <v>0</v>
      </c>
      <c r="J28" s="20">
        <f t="shared" si="11"/>
        <v>0</v>
      </c>
      <c r="K28" s="16" t="s">
        <v>29</v>
      </c>
      <c r="L28" s="16" t="s">
        <v>28</v>
      </c>
      <c r="M28" s="16" t="s">
        <v>28</v>
      </c>
      <c r="N28" s="18">
        <f t="shared" si="12"/>
        <v>1</v>
      </c>
      <c r="O28" s="30">
        <f t="shared" si="19"/>
        <v>0.3333333333</v>
      </c>
      <c r="P28" s="20">
        <f t="shared" si="14"/>
        <v>0.3333333333</v>
      </c>
      <c r="Q28" s="31" t="s">
        <v>29</v>
      </c>
      <c r="R28" s="31" t="s">
        <v>28</v>
      </c>
      <c r="S28" s="31" t="s">
        <v>31</v>
      </c>
      <c r="T28" s="29">
        <f t="shared" si="20"/>
        <v>1</v>
      </c>
      <c r="U28" s="30">
        <f t="shared" si="21"/>
        <v>0.3333333333</v>
      </c>
      <c r="V28" s="32" t="s">
        <v>29</v>
      </c>
      <c r="W28" s="32" t="s">
        <v>29</v>
      </c>
      <c r="X28" s="32" t="s">
        <v>29</v>
      </c>
      <c r="Y28" s="24">
        <v>46131.0</v>
      </c>
      <c r="Z28" s="5"/>
      <c r="AA28" s="5"/>
      <c r="AB28" s="5"/>
    </row>
    <row r="29" ht="15.75" customHeight="1">
      <c r="A29" s="21">
        <v>383.0</v>
      </c>
      <c r="B29" s="21" t="s">
        <v>46</v>
      </c>
      <c r="C29" s="21" t="s">
        <v>26</v>
      </c>
      <c r="D29" s="21" t="s">
        <v>35</v>
      </c>
      <c r="E29" s="17" t="s">
        <v>30</v>
      </c>
      <c r="F29" s="17" t="s">
        <v>30</v>
      </c>
      <c r="G29" s="22" t="s">
        <v>33</v>
      </c>
      <c r="H29" s="29">
        <f t="shared" si="17"/>
        <v>1</v>
      </c>
      <c r="I29" s="30">
        <f t="shared" si="18"/>
        <v>0.3333333333</v>
      </c>
      <c r="J29" s="20">
        <f t="shared" si="11"/>
        <v>1</v>
      </c>
      <c r="K29" s="22" t="s">
        <v>31</v>
      </c>
      <c r="L29" s="22" t="s">
        <v>29</v>
      </c>
      <c r="M29" s="22" t="s">
        <v>33</v>
      </c>
      <c r="N29" s="18">
        <f t="shared" si="12"/>
        <v>1</v>
      </c>
      <c r="O29" s="30">
        <f t="shared" si="19"/>
        <v>0.3333333333</v>
      </c>
      <c r="P29" s="20">
        <f t="shared" si="14"/>
        <v>0.3333333333</v>
      </c>
      <c r="Q29" s="31" t="s">
        <v>29</v>
      </c>
      <c r="R29" s="31" t="s">
        <v>31</v>
      </c>
      <c r="S29" s="31" t="s">
        <v>33</v>
      </c>
      <c r="T29" s="29">
        <f t="shared" si="20"/>
        <v>1</v>
      </c>
      <c r="U29" s="30">
        <f t="shared" si="21"/>
        <v>0.3333333333</v>
      </c>
      <c r="V29" s="32" t="s">
        <v>33</v>
      </c>
      <c r="W29" s="32" t="s">
        <v>33</v>
      </c>
      <c r="X29" s="32" t="s">
        <v>33</v>
      </c>
      <c r="Y29" s="13">
        <v>46131.0</v>
      </c>
      <c r="Z29" s="5"/>
      <c r="AA29" s="5"/>
      <c r="AB29" s="5"/>
    </row>
    <row r="30" ht="15.75" customHeight="1">
      <c r="A30" s="21">
        <v>391.0</v>
      </c>
      <c r="B30" s="21" t="s">
        <v>46</v>
      </c>
      <c r="C30" s="21" t="s">
        <v>36</v>
      </c>
      <c r="D30" s="21" t="s">
        <v>37</v>
      </c>
      <c r="E30" s="17" t="s">
        <v>30</v>
      </c>
      <c r="F30" s="17" t="s">
        <v>30</v>
      </c>
      <c r="G30" s="17" t="s">
        <v>30</v>
      </c>
      <c r="H30" s="29">
        <f t="shared" si="17"/>
        <v>0</v>
      </c>
      <c r="I30" s="30">
        <f t="shared" si="18"/>
        <v>0</v>
      </c>
      <c r="J30" s="20" t="str">
        <f t="shared" si="11"/>
        <v>XXX</v>
      </c>
      <c r="K30" s="16" t="s">
        <v>29</v>
      </c>
      <c r="L30" s="16" t="s">
        <v>28</v>
      </c>
      <c r="M30" s="16" t="s">
        <v>33</v>
      </c>
      <c r="N30" s="18">
        <f t="shared" si="12"/>
        <v>3</v>
      </c>
      <c r="O30" s="30">
        <f t="shared" si="19"/>
        <v>1</v>
      </c>
      <c r="P30" s="20">
        <f t="shared" si="14"/>
        <v>1</v>
      </c>
      <c r="Q30" s="31" t="s">
        <v>29</v>
      </c>
      <c r="R30" s="31" t="s">
        <v>28</v>
      </c>
      <c r="S30" s="31" t="s">
        <v>33</v>
      </c>
      <c r="T30" s="29">
        <f t="shared" si="20"/>
        <v>3</v>
      </c>
      <c r="U30" s="30">
        <f t="shared" si="21"/>
        <v>1</v>
      </c>
      <c r="V30" s="32" t="s">
        <v>29</v>
      </c>
      <c r="W30" s="32" t="s">
        <v>28</v>
      </c>
      <c r="X30" s="32" t="s">
        <v>33</v>
      </c>
      <c r="Y30" s="24">
        <v>46131.0</v>
      </c>
      <c r="Z30" s="5"/>
      <c r="AA30" s="5"/>
      <c r="AB30" s="5"/>
    </row>
    <row r="31" ht="15.75" customHeight="1">
      <c r="A31" s="21">
        <v>392.0</v>
      </c>
      <c r="B31" s="21" t="s">
        <v>46</v>
      </c>
      <c r="C31" s="21" t="s">
        <v>36</v>
      </c>
      <c r="D31" s="21" t="s">
        <v>37</v>
      </c>
      <c r="E31" s="17" t="s">
        <v>30</v>
      </c>
      <c r="F31" s="17" t="s">
        <v>30</v>
      </c>
      <c r="G31" s="17" t="s">
        <v>30</v>
      </c>
      <c r="H31" s="29">
        <f t="shared" si="17"/>
        <v>0</v>
      </c>
      <c r="I31" s="30">
        <f t="shared" si="18"/>
        <v>0</v>
      </c>
      <c r="J31" s="20" t="str">
        <f t="shared" si="11"/>
        <v>XXX</v>
      </c>
      <c r="K31" s="22" t="s">
        <v>29</v>
      </c>
      <c r="L31" s="22" t="s">
        <v>29</v>
      </c>
      <c r="M31" s="22" t="s">
        <v>29</v>
      </c>
      <c r="N31" s="18">
        <f t="shared" si="12"/>
        <v>2</v>
      </c>
      <c r="O31" s="30">
        <f t="shared" si="19"/>
        <v>0.6666666667</v>
      </c>
      <c r="P31" s="20">
        <f t="shared" si="14"/>
        <v>0.6666666667</v>
      </c>
      <c r="Q31" s="31" t="s">
        <v>31</v>
      </c>
      <c r="R31" s="31" t="s">
        <v>29</v>
      </c>
      <c r="S31" s="31" t="s">
        <v>33</v>
      </c>
      <c r="T31" s="29">
        <f t="shared" si="20"/>
        <v>2</v>
      </c>
      <c r="U31" s="30">
        <f t="shared" si="21"/>
        <v>0.6666666667</v>
      </c>
      <c r="V31" s="32" t="s">
        <v>31</v>
      </c>
      <c r="W31" s="32" t="s">
        <v>29</v>
      </c>
      <c r="X31" s="32" t="s">
        <v>29</v>
      </c>
      <c r="Y31" s="13">
        <v>46131.0</v>
      </c>
      <c r="Z31" s="5"/>
      <c r="AA31" s="5"/>
      <c r="AB31" s="5"/>
    </row>
    <row r="32" ht="15.75" customHeight="1">
      <c r="A32" s="33">
        <v>393.0</v>
      </c>
      <c r="B32" s="21" t="s">
        <v>46</v>
      </c>
      <c r="C32" s="21" t="s">
        <v>36</v>
      </c>
      <c r="D32" s="21" t="s">
        <v>37</v>
      </c>
      <c r="E32" s="17" t="s">
        <v>30</v>
      </c>
      <c r="F32" s="17" t="s">
        <v>30</v>
      </c>
      <c r="G32" s="17" t="s">
        <v>30</v>
      </c>
      <c r="H32" s="29">
        <f t="shared" si="17"/>
        <v>0</v>
      </c>
      <c r="I32" s="30">
        <f t="shared" si="18"/>
        <v>0</v>
      </c>
      <c r="J32" s="20" t="str">
        <f t="shared" si="11"/>
        <v>XXX</v>
      </c>
      <c r="K32" s="16" t="s">
        <v>29</v>
      </c>
      <c r="L32" s="16" t="s">
        <v>29</v>
      </c>
      <c r="M32" s="16" t="s">
        <v>31</v>
      </c>
      <c r="N32" s="18">
        <f t="shared" si="12"/>
        <v>1</v>
      </c>
      <c r="O32" s="30">
        <f t="shared" si="19"/>
        <v>0.3333333333</v>
      </c>
      <c r="P32" s="20">
        <f t="shared" si="14"/>
        <v>0.3333333333</v>
      </c>
      <c r="Q32" s="31" t="s">
        <v>33</v>
      </c>
      <c r="R32" s="31" t="s">
        <v>31</v>
      </c>
      <c r="S32" s="31" t="s">
        <v>29</v>
      </c>
      <c r="T32" s="29">
        <f t="shared" si="20"/>
        <v>1</v>
      </c>
      <c r="U32" s="30">
        <f t="shared" si="21"/>
        <v>0.3333333333</v>
      </c>
      <c r="V32" s="32" t="s">
        <v>33</v>
      </c>
      <c r="W32" s="32" t="s">
        <v>28</v>
      </c>
      <c r="X32" s="32" t="s">
        <v>31</v>
      </c>
      <c r="Y32" s="24">
        <v>46131.0</v>
      </c>
      <c r="Z32" s="5"/>
      <c r="AA32" s="5"/>
      <c r="AB32" s="5"/>
    </row>
    <row r="33" ht="15.75" customHeight="1">
      <c r="A33" s="21">
        <v>402.0</v>
      </c>
      <c r="B33" s="21" t="s">
        <v>46</v>
      </c>
      <c r="C33" s="21" t="s">
        <v>36</v>
      </c>
      <c r="D33" s="21" t="s">
        <v>38</v>
      </c>
      <c r="E33" s="17" t="s">
        <v>30</v>
      </c>
      <c r="F33" s="22" t="s">
        <v>29</v>
      </c>
      <c r="G33" s="22" t="s">
        <v>33</v>
      </c>
      <c r="H33" s="29">
        <f t="shared" si="17"/>
        <v>2</v>
      </c>
      <c r="I33" s="30">
        <f t="shared" si="18"/>
        <v>0.6666666667</v>
      </c>
      <c r="J33" s="20">
        <f t="shared" si="11"/>
        <v>1</v>
      </c>
      <c r="K33" s="22" t="s">
        <v>29</v>
      </c>
      <c r="L33" s="22" t="s">
        <v>29</v>
      </c>
      <c r="M33" s="22" t="s">
        <v>33</v>
      </c>
      <c r="N33" s="18">
        <f t="shared" si="12"/>
        <v>2</v>
      </c>
      <c r="O33" s="30">
        <f t="shared" si="19"/>
        <v>0.6666666667</v>
      </c>
      <c r="P33" s="20">
        <f t="shared" si="14"/>
        <v>0.6666666667</v>
      </c>
      <c r="Q33" s="31" t="s">
        <v>33</v>
      </c>
      <c r="R33" s="31" t="s">
        <v>29</v>
      </c>
      <c r="S33" s="31" t="s">
        <v>28</v>
      </c>
      <c r="T33" s="29">
        <f t="shared" si="20"/>
        <v>1</v>
      </c>
      <c r="U33" s="30">
        <f t="shared" si="21"/>
        <v>0.3333333333</v>
      </c>
      <c r="V33" s="32" t="s">
        <v>31</v>
      </c>
      <c r="W33" s="32" t="s">
        <v>29</v>
      </c>
      <c r="X33" s="32" t="s">
        <v>33</v>
      </c>
      <c r="Y33" s="13">
        <v>46131.0</v>
      </c>
      <c r="Z33" s="5"/>
      <c r="AA33" s="5"/>
      <c r="AB33" s="5"/>
    </row>
    <row r="34" ht="15.75" customHeight="1">
      <c r="A34" s="21">
        <v>403.0</v>
      </c>
      <c r="B34" s="21" t="s">
        <v>46</v>
      </c>
      <c r="C34" s="21" t="s">
        <v>36</v>
      </c>
      <c r="D34" s="21" t="s">
        <v>38</v>
      </c>
      <c r="E34" s="16" t="s">
        <v>28</v>
      </c>
      <c r="F34" s="17" t="s">
        <v>30</v>
      </c>
      <c r="G34" s="17" t="s">
        <v>30</v>
      </c>
      <c r="H34" s="29">
        <f t="shared" si="17"/>
        <v>1</v>
      </c>
      <c r="I34" s="30">
        <f t="shared" si="18"/>
        <v>0.3333333333</v>
      </c>
      <c r="J34" s="20">
        <f t="shared" si="11"/>
        <v>1</v>
      </c>
      <c r="K34" s="16" t="s">
        <v>28</v>
      </c>
      <c r="L34" s="16" t="s">
        <v>29</v>
      </c>
      <c r="M34" s="16" t="s">
        <v>33</v>
      </c>
      <c r="N34" s="18">
        <f t="shared" si="12"/>
        <v>3</v>
      </c>
      <c r="O34" s="30">
        <f t="shared" si="19"/>
        <v>1</v>
      </c>
      <c r="P34" s="20">
        <f t="shared" si="14"/>
        <v>1</v>
      </c>
      <c r="Q34" s="31" t="s">
        <v>28</v>
      </c>
      <c r="R34" s="31" t="s">
        <v>29</v>
      </c>
      <c r="S34" s="31" t="s">
        <v>33</v>
      </c>
      <c r="T34" s="29">
        <f t="shared" si="20"/>
        <v>3</v>
      </c>
      <c r="U34" s="30">
        <f t="shared" si="21"/>
        <v>1</v>
      </c>
      <c r="V34" s="32" t="s">
        <v>28</v>
      </c>
      <c r="W34" s="32" t="s">
        <v>29</v>
      </c>
      <c r="X34" s="32" t="s">
        <v>33</v>
      </c>
      <c r="Y34" s="24">
        <v>46131.0</v>
      </c>
      <c r="Z34" s="5"/>
      <c r="AA34" s="5"/>
      <c r="AB34" s="5"/>
    </row>
    <row r="35" ht="15.75" customHeight="1">
      <c r="A35" s="21">
        <v>404.0</v>
      </c>
      <c r="B35" s="21" t="s">
        <v>46</v>
      </c>
      <c r="C35" s="21" t="s">
        <v>36</v>
      </c>
      <c r="D35" s="21" t="s">
        <v>38</v>
      </c>
      <c r="E35" s="17" t="s">
        <v>30</v>
      </c>
      <c r="F35" s="22" t="s">
        <v>33</v>
      </c>
      <c r="G35" s="22" t="s">
        <v>29</v>
      </c>
      <c r="H35" s="29">
        <f t="shared" si="17"/>
        <v>1</v>
      </c>
      <c r="I35" s="30">
        <f t="shared" si="18"/>
        <v>0.3333333333</v>
      </c>
      <c r="J35" s="20">
        <f t="shared" si="11"/>
        <v>0.5</v>
      </c>
      <c r="K35" s="22" t="s">
        <v>29</v>
      </c>
      <c r="L35" s="22" t="s">
        <v>33</v>
      </c>
      <c r="M35" s="22" t="s">
        <v>29</v>
      </c>
      <c r="N35" s="18">
        <f t="shared" si="12"/>
        <v>1</v>
      </c>
      <c r="O35" s="30">
        <f t="shared" si="19"/>
        <v>0.3333333333</v>
      </c>
      <c r="P35" s="20">
        <f t="shared" si="14"/>
        <v>0.3333333333</v>
      </c>
      <c r="Q35" s="31" t="s">
        <v>31</v>
      </c>
      <c r="R35" s="31" t="s">
        <v>33</v>
      </c>
      <c r="S35" s="31" t="s">
        <v>29</v>
      </c>
      <c r="T35" s="29">
        <f t="shared" si="20"/>
        <v>2</v>
      </c>
      <c r="U35" s="30">
        <f t="shared" si="21"/>
        <v>0.6666666667</v>
      </c>
      <c r="V35" s="32" t="s">
        <v>31</v>
      </c>
      <c r="W35" s="32" t="s">
        <v>33</v>
      </c>
      <c r="X35" s="32" t="s">
        <v>31</v>
      </c>
      <c r="Y35" s="13">
        <v>46131.0</v>
      </c>
      <c r="Z35" s="5"/>
      <c r="AA35" s="5"/>
      <c r="AB35" s="5"/>
    </row>
    <row r="36" ht="15.75" customHeight="1">
      <c r="A36" s="21">
        <v>411.0</v>
      </c>
      <c r="B36" s="21" t="s">
        <v>46</v>
      </c>
      <c r="C36" s="21" t="s">
        <v>36</v>
      </c>
      <c r="D36" s="21" t="s">
        <v>47</v>
      </c>
      <c r="E36" s="16" t="s">
        <v>29</v>
      </c>
      <c r="F36" s="17" t="s">
        <v>30</v>
      </c>
      <c r="G36" s="16" t="s">
        <v>29</v>
      </c>
      <c r="H36" s="29">
        <f t="shared" si="17"/>
        <v>1</v>
      </c>
      <c r="I36" s="30">
        <f t="shared" si="18"/>
        <v>0.3333333333</v>
      </c>
      <c r="J36" s="20">
        <f t="shared" si="11"/>
        <v>0.5</v>
      </c>
      <c r="K36" s="16" t="s">
        <v>29</v>
      </c>
      <c r="L36" s="16" t="s">
        <v>28</v>
      </c>
      <c r="M36" s="16" t="s">
        <v>33</v>
      </c>
      <c r="N36" s="18">
        <f t="shared" si="12"/>
        <v>2</v>
      </c>
      <c r="O36" s="30">
        <f t="shared" si="19"/>
        <v>0.6666666667</v>
      </c>
      <c r="P36" s="20">
        <f t="shared" si="14"/>
        <v>0.6666666667</v>
      </c>
      <c r="Q36" s="31" t="s">
        <v>29</v>
      </c>
      <c r="R36" s="31" t="s">
        <v>28</v>
      </c>
      <c r="S36" s="31" t="s">
        <v>29</v>
      </c>
      <c r="T36" s="29">
        <f t="shared" si="20"/>
        <v>2</v>
      </c>
      <c r="U36" s="30">
        <f t="shared" si="21"/>
        <v>0.6666666667</v>
      </c>
      <c r="V36" s="32" t="s">
        <v>29</v>
      </c>
      <c r="W36" s="32" t="s">
        <v>28</v>
      </c>
      <c r="X36" s="32" t="s">
        <v>31</v>
      </c>
      <c r="Y36" s="24">
        <v>46131.0</v>
      </c>
      <c r="Z36" s="5"/>
      <c r="AA36" s="5"/>
      <c r="AB36" s="5"/>
    </row>
    <row r="37" ht="15.75" customHeight="1">
      <c r="A37" s="21">
        <v>412.0</v>
      </c>
      <c r="B37" s="21" t="s">
        <v>46</v>
      </c>
      <c r="C37" s="21" t="s">
        <v>36</v>
      </c>
      <c r="D37" s="21" t="s">
        <v>47</v>
      </c>
      <c r="E37" s="17" t="s">
        <v>30</v>
      </c>
      <c r="F37" s="17" t="s">
        <v>30</v>
      </c>
      <c r="G37" s="22" t="s">
        <v>28</v>
      </c>
      <c r="H37" s="29">
        <f t="shared" si="17"/>
        <v>1</v>
      </c>
      <c r="I37" s="30">
        <f t="shared" si="18"/>
        <v>0.3333333333</v>
      </c>
      <c r="J37" s="20">
        <f t="shared" si="11"/>
        <v>1</v>
      </c>
      <c r="K37" s="22" t="s">
        <v>31</v>
      </c>
      <c r="L37" s="22" t="s">
        <v>33</v>
      </c>
      <c r="M37" s="22" t="s">
        <v>28</v>
      </c>
      <c r="N37" s="18">
        <f t="shared" si="12"/>
        <v>3</v>
      </c>
      <c r="O37" s="30">
        <f t="shared" si="19"/>
        <v>1</v>
      </c>
      <c r="P37" s="20">
        <f t="shared" si="14"/>
        <v>1</v>
      </c>
      <c r="Q37" s="31" t="s">
        <v>31</v>
      </c>
      <c r="R37" s="31" t="s">
        <v>33</v>
      </c>
      <c r="S37" s="31" t="s">
        <v>28</v>
      </c>
      <c r="T37" s="29">
        <f t="shared" si="20"/>
        <v>3</v>
      </c>
      <c r="U37" s="30">
        <f t="shared" si="21"/>
        <v>1</v>
      </c>
      <c r="V37" s="32" t="s">
        <v>31</v>
      </c>
      <c r="W37" s="32" t="s">
        <v>33</v>
      </c>
      <c r="X37" s="32" t="s">
        <v>28</v>
      </c>
      <c r="Y37" s="13">
        <v>46131.0</v>
      </c>
      <c r="Z37" s="5"/>
      <c r="AA37" s="5"/>
      <c r="AB37" s="5"/>
    </row>
    <row r="38" ht="15.75" customHeight="1">
      <c r="A38" s="21">
        <v>413.0</v>
      </c>
      <c r="B38" s="21" t="s">
        <v>46</v>
      </c>
      <c r="C38" s="21" t="s">
        <v>36</v>
      </c>
      <c r="D38" s="21" t="s">
        <v>47</v>
      </c>
      <c r="E38" s="17" t="s">
        <v>30</v>
      </c>
      <c r="F38" s="16" t="s">
        <v>29</v>
      </c>
      <c r="G38" s="16" t="s">
        <v>29</v>
      </c>
      <c r="H38" s="29">
        <f t="shared" si="17"/>
        <v>2</v>
      </c>
      <c r="I38" s="30">
        <f t="shared" si="18"/>
        <v>0.6666666667</v>
      </c>
      <c r="J38" s="20">
        <f t="shared" si="11"/>
        <v>1</v>
      </c>
      <c r="K38" s="16" t="s">
        <v>29</v>
      </c>
      <c r="L38" s="16" t="s">
        <v>29</v>
      </c>
      <c r="M38" s="16" t="s">
        <v>29</v>
      </c>
      <c r="N38" s="18">
        <f t="shared" si="12"/>
        <v>3</v>
      </c>
      <c r="O38" s="30">
        <f t="shared" si="19"/>
        <v>1</v>
      </c>
      <c r="P38" s="20">
        <f t="shared" si="14"/>
        <v>1</v>
      </c>
      <c r="Q38" s="31" t="s">
        <v>28</v>
      </c>
      <c r="R38" s="31" t="s">
        <v>29</v>
      </c>
      <c r="S38" s="31" t="s">
        <v>33</v>
      </c>
      <c r="T38" s="29">
        <f t="shared" si="20"/>
        <v>1</v>
      </c>
      <c r="U38" s="30">
        <f t="shared" si="21"/>
        <v>0.3333333333</v>
      </c>
      <c r="V38" s="32" t="s">
        <v>29</v>
      </c>
      <c r="W38" s="32" t="s">
        <v>29</v>
      </c>
      <c r="X38" s="32" t="s">
        <v>29</v>
      </c>
      <c r="Y38" s="24">
        <v>46131.0</v>
      </c>
      <c r="Z38" s="5"/>
      <c r="AA38" s="5"/>
      <c r="AB38" s="5"/>
    </row>
    <row r="39" ht="15.75" customHeight="1">
      <c r="A39" s="21">
        <v>421.0</v>
      </c>
      <c r="B39" s="21" t="s">
        <v>46</v>
      </c>
      <c r="C39" s="21" t="s">
        <v>36</v>
      </c>
      <c r="D39" s="21" t="s">
        <v>48</v>
      </c>
      <c r="E39" s="17" t="s">
        <v>30</v>
      </c>
      <c r="F39" s="22" t="s">
        <v>29</v>
      </c>
      <c r="G39" s="17" t="s">
        <v>30</v>
      </c>
      <c r="H39" s="29">
        <f t="shared" si="17"/>
        <v>1</v>
      </c>
      <c r="I39" s="30">
        <f t="shared" si="18"/>
        <v>0.3333333333</v>
      </c>
      <c r="J39" s="20">
        <f t="shared" si="11"/>
        <v>1</v>
      </c>
      <c r="K39" s="22" t="s">
        <v>29</v>
      </c>
      <c r="L39" s="22" t="s">
        <v>29</v>
      </c>
      <c r="M39" s="22" t="s">
        <v>29</v>
      </c>
      <c r="N39" s="18">
        <f t="shared" si="12"/>
        <v>1</v>
      </c>
      <c r="O39" s="30">
        <f t="shared" si="19"/>
        <v>0.3333333333</v>
      </c>
      <c r="P39" s="20">
        <f t="shared" si="14"/>
        <v>0.3333333333</v>
      </c>
      <c r="Q39" s="31" t="s">
        <v>31</v>
      </c>
      <c r="R39" s="31" t="s">
        <v>29</v>
      </c>
      <c r="S39" s="31" t="s">
        <v>28</v>
      </c>
      <c r="T39" s="29">
        <f t="shared" si="20"/>
        <v>2</v>
      </c>
      <c r="U39" s="30">
        <f t="shared" si="21"/>
        <v>0.6666666667</v>
      </c>
      <c r="V39" s="32" t="s">
        <v>31</v>
      </c>
      <c r="W39" s="32" t="s">
        <v>29</v>
      </c>
      <c r="X39" s="32" t="s">
        <v>31</v>
      </c>
      <c r="Y39" s="13">
        <v>46131.0</v>
      </c>
      <c r="Z39" s="5"/>
      <c r="AA39" s="5"/>
      <c r="AB39" s="5"/>
    </row>
    <row r="40" ht="15.75" customHeight="1">
      <c r="A40" s="21">
        <v>422.0</v>
      </c>
      <c r="B40" s="21" t="s">
        <v>46</v>
      </c>
      <c r="C40" s="21" t="s">
        <v>36</v>
      </c>
      <c r="D40" s="21" t="s">
        <v>48</v>
      </c>
      <c r="E40" s="17" t="s">
        <v>30</v>
      </c>
      <c r="F40" s="17" t="s">
        <v>30</v>
      </c>
      <c r="G40" s="17" t="s">
        <v>30</v>
      </c>
      <c r="H40" s="29">
        <f t="shared" si="17"/>
        <v>0</v>
      </c>
      <c r="I40" s="30">
        <f t="shared" si="18"/>
        <v>0</v>
      </c>
      <c r="J40" s="20" t="str">
        <f t="shared" si="11"/>
        <v>XXX</v>
      </c>
      <c r="K40" s="16" t="s">
        <v>33</v>
      </c>
      <c r="L40" s="16" t="s">
        <v>28</v>
      </c>
      <c r="M40" s="16" t="s">
        <v>29</v>
      </c>
      <c r="N40" s="18">
        <f t="shared" si="12"/>
        <v>1</v>
      </c>
      <c r="O40" s="30">
        <f t="shared" si="19"/>
        <v>0.3333333333</v>
      </c>
      <c r="P40" s="20">
        <f t="shared" si="14"/>
        <v>0.3333333333</v>
      </c>
      <c r="Q40" s="31" t="s">
        <v>28</v>
      </c>
      <c r="R40" s="31" t="s">
        <v>28</v>
      </c>
      <c r="S40" s="31" t="s">
        <v>29</v>
      </c>
      <c r="T40" s="29">
        <f t="shared" si="20"/>
        <v>2</v>
      </c>
      <c r="U40" s="30">
        <f t="shared" si="21"/>
        <v>0.6666666667</v>
      </c>
      <c r="V40" s="32" t="s">
        <v>28</v>
      </c>
      <c r="W40" s="32" t="s">
        <v>28</v>
      </c>
      <c r="X40" s="32" t="s">
        <v>31</v>
      </c>
      <c r="Y40" s="24">
        <v>46131.0</v>
      </c>
      <c r="Z40" s="5"/>
      <c r="AA40" s="5"/>
      <c r="AB40" s="5"/>
    </row>
    <row r="41" ht="15.75" customHeight="1">
      <c r="A41" s="21">
        <v>423.0</v>
      </c>
      <c r="B41" s="21" t="s">
        <v>46</v>
      </c>
      <c r="C41" s="21" t="s">
        <v>36</v>
      </c>
      <c r="D41" s="21" t="s">
        <v>48</v>
      </c>
      <c r="E41" s="22" t="s">
        <v>28</v>
      </c>
      <c r="F41" s="17" t="s">
        <v>30</v>
      </c>
      <c r="G41" s="17" t="s">
        <v>30</v>
      </c>
      <c r="H41" s="29">
        <f t="shared" si="17"/>
        <v>1</v>
      </c>
      <c r="I41" s="30">
        <f t="shared" si="18"/>
        <v>0.3333333333</v>
      </c>
      <c r="J41" s="20">
        <f t="shared" si="11"/>
        <v>1</v>
      </c>
      <c r="K41" s="22" t="s">
        <v>28</v>
      </c>
      <c r="L41" s="22" t="s">
        <v>28</v>
      </c>
      <c r="M41" s="22" t="s">
        <v>29</v>
      </c>
      <c r="N41" s="18">
        <f t="shared" si="12"/>
        <v>3</v>
      </c>
      <c r="O41" s="30">
        <f t="shared" si="19"/>
        <v>1</v>
      </c>
      <c r="P41" s="20">
        <f t="shared" si="14"/>
        <v>1</v>
      </c>
      <c r="Q41" s="31" t="s">
        <v>28</v>
      </c>
      <c r="R41" s="31" t="s">
        <v>28</v>
      </c>
      <c r="S41" s="31" t="s">
        <v>29</v>
      </c>
      <c r="T41" s="29">
        <f t="shared" si="20"/>
        <v>3</v>
      </c>
      <c r="U41" s="30">
        <f t="shared" si="21"/>
        <v>1</v>
      </c>
      <c r="V41" s="32" t="s">
        <v>28</v>
      </c>
      <c r="W41" s="32" t="s">
        <v>28</v>
      </c>
      <c r="X41" s="32" t="s">
        <v>29</v>
      </c>
      <c r="Y41" s="13">
        <v>46131.0</v>
      </c>
      <c r="Z41" s="5"/>
      <c r="AA41" s="5"/>
      <c r="AB41" s="5"/>
    </row>
    <row r="42" ht="15.75" customHeight="1">
      <c r="A42" s="21">
        <v>521.0</v>
      </c>
      <c r="B42" s="21" t="s">
        <v>46</v>
      </c>
      <c r="C42" s="21" t="s">
        <v>41</v>
      </c>
      <c r="D42" s="21" t="s">
        <v>42</v>
      </c>
      <c r="E42" s="17" t="s">
        <v>30</v>
      </c>
      <c r="F42" s="17" t="s">
        <v>30</v>
      </c>
      <c r="G42" s="16" t="s">
        <v>28</v>
      </c>
      <c r="H42" s="29">
        <f t="shared" si="17"/>
        <v>0</v>
      </c>
      <c r="I42" s="30">
        <f t="shared" si="18"/>
        <v>0</v>
      </c>
      <c r="J42" s="20">
        <f t="shared" si="11"/>
        <v>0</v>
      </c>
      <c r="K42" s="16" t="s">
        <v>33</v>
      </c>
      <c r="L42" s="16" t="s">
        <v>28</v>
      </c>
      <c r="M42" s="16" t="s">
        <v>31</v>
      </c>
      <c r="N42" s="18">
        <f t="shared" si="12"/>
        <v>3</v>
      </c>
      <c r="O42" s="30">
        <f t="shared" si="19"/>
        <v>1</v>
      </c>
      <c r="P42" s="20">
        <f t="shared" si="14"/>
        <v>1</v>
      </c>
      <c r="Q42" s="31" t="s">
        <v>33</v>
      </c>
      <c r="R42" s="31" t="s">
        <v>28</v>
      </c>
      <c r="S42" s="31" t="s">
        <v>33</v>
      </c>
      <c r="T42" s="29">
        <f t="shared" si="20"/>
        <v>2</v>
      </c>
      <c r="U42" s="30">
        <f t="shared" si="21"/>
        <v>0.6666666667</v>
      </c>
      <c r="V42" s="32" t="s">
        <v>33</v>
      </c>
      <c r="W42" s="32" t="s">
        <v>28</v>
      </c>
      <c r="X42" s="32" t="s">
        <v>31</v>
      </c>
      <c r="Y42" s="24">
        <v>46131.0</v>
      </c>
      <c r="Z42" s="5"/>
      <c r="AA42" s="5"/>
      <c r="AB42" s="5"/>
    </row>
    <row r="43" ht="15.75" customHeight="1">
      <c r="A43" s="21">
        <v>522.0</v>
      </c>
      <c r="B43" s="21" t="s">
        <v>46</v>
      </c>
      <c r="C43" s="21" t="s">
        <v>41</v>
      </c>
      <c r="D43" s="21" t="s">
        <v>42</v>
      </c>
      <c r="E43" s="17" t="s">
        <v>30</v>
      </c>
      <c r="F43" s="17" t="s">
        <v>30</v>
      </c>
      <c r="G43" s="17" t="s">
        <v>30</v>
      </c>
      <c r="H43" s="29">
        <f t="shared" si="17"/>
        <v>0</v>
      </c>
      <c r="I43" s="30">
        <f t="shared" si="18"/>
        <v>0</v>
      </c>
      <c r="J43" s="20" t="str">
        <f t="shared" si="11"/>
        <v>XXX</v>
      </c>
      <c r="K43" s="22" t="s">
        <v>31</v>
      </c>
      <c r="L43" s="22" t="s">
        <v>28</v>
      </c>
      <c r="M43" s="22" t="s">
        <v>29</v>
      </c>
      <c r="N43" s="18">
        <f t="shared" si="12"/>
        <v>1</v>
      </c>
      <c r="O43" s="30">
        <f t="shared" si="19"/>
        <v>0.3333333333</v>
      </c>
      <c r="P43" s="20">
        <f t="shared" si="14"/>
        <v>0.3333333333</v>
      </c>
      <c r="Q43" s="31" t="s">
        <v>33</v>
      </c>
      <c r="R43" s="31" t="s">
        <v>33</v>
      </c>
      <c r="S43" s="31" t="s">
        <v>33</v>
      </c>
      <c r="T43" s="29">
        <f t="shared" si="20"/>
        <v>1</v>
      </c>
      <c r="U43" s="30">
        <f t="shared" si="21"/>
        <v>0.3333333333</v>
      </c>
      <c r="V43" s="32" t="s">
        <v>31</v>
      </c>
      <c r="W43" s="32" t="s">
        <v>29</v>
      </c>
      <c r="X43" s="32" t="s">
        <v>33</v>
      </c>
      <c r="Y43" s="13">
        <v>46131.0</v>
      </c>
      <c r="Z43" s="5"/>
      <c r="AA43" s="5"/>
      <c r="AB43" s="5"/>
    </row>
    <row r="44" ht="15.75" customHeight="1">
      <c r="A44" s="21">
        <v>523.0</v>
      </c>
      <c r="B44" s="21" t="s">
        <v>46</v>
      </c>
      <c r="C44" s="21" t="s">
        <v>41</v>
      </c>
      <c r="D44" s="21" t="s">
        <v>42</v>
      </c>
      <c r="E44" s="16" t="s">
        <v>29</v>
      </c>
      <c r="F44" s="16" t="s">
        <v>33</v>
      </c>
      <c r="G44" s="16" t="s">
        <v>28</v>
      </c>
      <c r="H44" s="29">
        <f t="shared" si="17"/>
        <v>3</v>
      </c>
      <c r="I44" s="30">
        <f t="shared" si="18"/>
        <v>1</v>
      </c>
      <c r="J44" s="20">
        <f t="shared" si="11"/>
        <v>1</v>
      </c>
      <c r="K44" s="16" t="s">
        <v>29</v>
      </c>
      <c r="L44" s="16" t="s">
        <v>33</v>
      </c>
      <c r="M44" s="16" t="s">
        <v>28</v>
      </c>
      <c r="N44" s="18">
        <f t="shared" si="12"/>
        <v>3</v>
      </c>
      <c r="O44" s="30">
        <f t="shared" si="19"/>
        <v>1</v>
      </c>
      <c r="P44" s="20">
        <f t="shared" si="14"/>
        <v>1</v>
      </c>
      <c r="Q44" s="31" t="s">
        <v>29</v>
      </c>
      <c r="R44" s="31" t="s">
        <v>33</v>
      </c>
      <c r="S44" s="31" t="s">
        <v>31</v>
      </c>
      <c r="T44" s="29">
        <f t="shared" si="20"/>
        <v>2</v>
      </c>
      <c r="U44" s="30">
        <f t="shared" si="21"/>
        <v>0.6666666667</v>
      </c>
      <c r="V44" s="32" t="s">
        <v>29</v>
      </c>
      <c r="W44" s="32" t="s">
        <v>33</v>
      </c>
      <c r="X44" s="32" t="s">
        <v>28</v>
      </c>
      <c r="Y44" s="24">
        <v>46131.0</v>
      </c>
      <c r="Z44" s="5"/>
      <c r="AA44" s="5"/>
      <c r="AB44" s="5"/>
    </row>
    <row r="45" ht="15.75" customHeight="1">
      <c r="A45" s="21">
        <v>533.0</v>
      </c>
      <c r="B45" s="21" t="s">
        <v>46</v>
      </c>
      <c r="C45" s="21" t="s">
        <v>41</v>
      </c>
      <c r="D45" s="21" t="s">
        <v>43</v>
      </c>
      <c r="E45" s="17" t="s">
        <v>30</v>
      </c>
      <c r="F45" s="17" t="s">
        <v>30</v>
      </c>
      <c r="G45" s="17" t="s">
        <v>30</v>
      </c>
      <c r="H45" s="29">
        <f t="shared" si="17"/>
        <v>0</v>
      </c>
      <c r="I45" s="30">
        <f t="shared" si="18"/>
        <v>0</v>
      </c>
      <c r="J45" s="20" t="str">
        <f t="shared" si="11"/>
        <v>XXX</v>
      </c>
      <c r="K45" s="22" t="s">
        <v>33</v>
      </c>
      <c r="L45" s="22" t="s">
        <v>29</v>
      </c>
      <c r="M45" s="22" t="s">
        <v>29</v>
      </c>
      <c r="N45" s="18">
        <f t="shared" si="12"/>
        <v>0</v>
      </c>
      <c r="O45" s="30">
        <f t="shared" si="19"/>
        <v>0</v>
      </c>
      <c r="P45" s="20">
        <f t="shared" si="14"/>
        <v>0</v>
      </c>
      <c r="Q45" s="31" t="s">
        <v>31</v>
      </c>
      <c r="R45" s="31" t="s">
        <v>31</v>
      </c>
      <c r="S45" s="31" t="s">
        <v>29</v>
      </c>
      <c r="T45" s="29">
        <f t="shared" si="20"/>
        <v>1</v>
      </c>
      <c r="U45" s="30">
        <f t="shared" si="21"/>
        <v>0.3333333333</v>
      </c>
      <c r="V45" s="32" t="s">
        <v>31</v>
      </c>
      <c r="W45" s="32" t="s">
        <v>28</v>
      </c>
      <c r="X45" s="32" t="s">
        <v>33</v>
      </c>
      <c r="Y45" s="13">
        <v>46131.0</v>
      </c>
      <c r="Z45" s="5"/>
      <c r="AA45" s="5"/>
      <c r="AB45" s="5"/>
    </row>
    <row r="46" ht="15.75" customHeight="1">
      <c r="A46" s="21">
        <v>534.0</v>
      </c>
      <c r="B46" s="21" t="s">
        <v>46</v>
      </c>
      <c r="C46" s="21" t="s">
        <v>41</v>
      </c>
      <c r="D46" s="21" t="s">
        <v>43</v>
      </c>
      <c r="E46" s="16" t="s">
        <v>29</v>
      </c>
      <c r="F46" s="17" t="s">
        <v>30</v>
      </c>
      <c r="G46" s="16" t="s">
        <v>28</v>
      </c>
      <c r="H46" s="29">
        <f t="shared" si="17"/>
        <v>2</v>
      </c>
      <c r="I46" s="30">
        <f t="shared" si="18"/>
        <v>0.6666666667</v>
      </c>
      <c r="J46" s="20">
        <f t="shared" si="11"/>
        <v>1</v>
      </c>
      <c r="K46" s="16" t="s">
        <v>29</v>
      </c>
      <c r="L46" s="16" t="s">
        <v>33</v>
      </c>
      <c r="M46" s="16" t="s">
        <v>28</v>
      </c>
      <c r="N46" s="18">
        <f t="shared" si="12"/>
        <v>3</v>
      </c>
      <c r="O46" s="30">
        <f t="shared" si="19"/>
        <v>1</v>
      </c>
      <c r="P46" s="20">
        <f t="shared" si="14"/>
        <v>1</v>
      </c>
      <c r="Q46" s="31" t="s">
        <v>29</v>
      </c>
      <c r="R46" s="31" t="s">
        <v>33</v>
      </c>
      <c r="S46" s="31" t="s">
        <v>33</v>
      </c>
      <c r="T46" s="29">
        <f t="shared" si="20"/>
        <v>2</v>
      </c>
      <c r="U46" s="30">
        <f t="shared" si="21"/>
        <v>0.6666666667</v>
      </c>
      <c r="V46" s="32" t="s">
        <v>29</v>
      </c>
      <c r="W46" s="32" t="s">
        <v>33</v>
      </c>
      <c r="X46" s="32" t="s">
        <v>28</v>
      </c>
      <c r="Y46" s="24">
        <v>46131.0</v>
      </c>
      <c r="Z46" s="5"/>
      <c r="AA46" s="5"/>
      <c r="AB46" s="5"/>
    </row>
    <row r="47" ht="15.75" customHeight="1">
      <c r="A47" s="21">
        <v>535.0</v>
      </c>
      <c r="B47" s="21" t="s">
        <v>46</v>
      </c>
      <c r="C47" s="21" t="s">
        <v>41</v>
      </c>
      <c r="D47" s="21" t="s">
        <v>43</v>
      </c>
      <c r="E47" s="22" t="s">
        <v>31</v>
      </c>
      <c r="F47" s="17" t="s">
        <v>30</v>
      </c>
      <c r="G47" s="17" t="s">
        <v>30</v>
      </c>
      <c r="H47" s="29">
        <f t="shared" si="17"/>
        <v>1</v>
      </c>
      <c r="I47" s="30">
        <f t="shared" si="18"/>
        <v>0.3333333333</v>
      </c>
      <c r="J47" s="20">
        <f t="shared" si="11"/>
        <v>1</v>
      </c>
      <c r="K47" s="22" t="s">
        <v>31</v>
      </c>
      <c r="L47" s="22" t="s">
        <v>31</v>
      </c>
      <c r="M47" s="22" t="s">
        <v>28</v>
      </c>
      <c r="N47" s="18">
        <f t="shared" si="12"/>
        <v>1</v>
      </c>
      <c r="O47" s="30">
        <f t="shared" si="19"/>
        <v>0.3333333333</v>
      </c>
      <c r="P47" s="20">
        <f t="shared" si="14"/>
        <v>0.3333333333</v>
      </c>
      <c r="Q47" s="31" t="s">
        <v>31</v>
      </c>
      <c r="R47" s="31" t="s">
        <v>29</v>
      </c>
      <c r="S47" s="31" t="s">
        <v>33</v>
      </c>
      <c r="T47" s="29">
        <f t="shared" si="20"/>
        <v>3</v>
      </c>
      <c r="U47" s="30">
        <f t="shared" si="21"/>
        <v>1</v>
      </c>
      <c r="V47" s="32" t="s">
        <v>31</v>
      </c>
      <c r="W47" s="32" t="s">
        <v>29</v>
      </c>
      <c r="X47" s="32" t="s">
        <v>33</v>
      </c>
      <c r="Y47" s="13">
        <v>46131.0</v>
      </c>
      <c r="Z47" s="5"/>
      <c r="AA47" s="5"/>
      <c r="AB47" s="5"/>
    </row>
    <row r="48" ht="15.75" customHeight="1">
      <c r="A48" s="21">
        <v>551.0</v>
      </c>
      <c r="B48" s="21" t="s">
        <v>46</v>
      </c>
      <c r="C48" s="21" t="s">
        <v>41</v>
      </c>
      <c r="D48" s="21" t="s">
        <v>44</v>
      </c>
      <c r="E48" s="17" t="s">
        <v>30</v>
      </c>
      <c r="F48" s="17" t="s">
        <v>30</v>
      </c>
      <c r="G48" s="16" t="s">
        <v>29</v>
      </c>
      <c r="H48" s="29">
        <f t="shared" si="17"/>
        <v>0</v>
      </c>
      <c r="I48" s="30">
        <f t="shared" si="18"/>
        <v>0</v>
      </c>
      <c r="J48" s="20">
        <f t="shared" si="11"/>
        <v>0</v>
      </c>
      <c r="K48" s="16" t="s">
        <v>29</v>
      </c>
      <c r="L48" s="16" t="s">
        <v>33</v>
      </c>
      <c r="M48" s="16" t="s">
        <v>29</v>
      </c>
      <c r="N48" s="18">
        <f t="shared" si="12"/>
        <v>0</v>
      </c>
      <c r="O48" s="30">
        <f t="shared" si="19"/>
        <v>0</v>
      </c>
      <c r="P48" s="20">
        <f t="shared" si="14"/>
        <v>0</v>
      </c>
      <c r="Q48" s="31" t="s">
        <v>31</v>
      </c>
      <c r="R48" s="31" t="s">
        <v>28</v>
      </c>
      <c r="S48" s="31" t="s">
        <v>33</v>
      </c>
      <c r="T48" s="29">
        <f t="shared" si="20"/>
        <v>2</v>
      </c>
      <c r="U48" s="30">
        <f t="shared" si="21"/>
        <v>0.6666666667</v>
      </c>
      <c r="V48" s="32" t="s">
        <v>31</v>
      </c>
      <c r="W48" s="32" t="s">
        <v>29</v>
      </c>
      <c r="X48" s="32" t="s">
        <v>33</v>
      </c>
      <c r="Y48" s="24">
        <v>46132.0</v>
      </c>
      <c r="Z48" s="5"/>
      <c r="AA48" s="5"/>
      <c r="AB48" s="5"/>
    </row>
    <row r="49" ht="15.75" customHeight="1">
      <c r="A49" s="21">
        <v>552.0</v>
      </c>
      <c r="B49" s="21" t="s">
        <v>46</v>
      </c>
      <c r="C49" s="21" t="s">
        <v>41</v>
      </c>
      <c r="D49" s="21" t="s">
        <v>44</v>
      </c>
      <c r="E49" s="17" t="s">
        <v>30</v>
      </c>
      <c r="F49" s="17" t="s">
        <v>30</v>
      </c>
      <c r="G49" s="17" t="s">
        <v>30</v>
      </c>
      <c r="H49" s="29">
        <f t="shared" si="17"/>
        <v>0</v>
      </c>
      <c r="I49" s="30">
        <f t="shared" si="18"/>
        <v>0</v>
      </c>
      <c r="J49" s="20" t="str">
        <f t="shared" si="11"/>
        <v>XXX</v>
      </c>
      <c r="K49" s="22" t="s">
        <v>28</v>
      </c>
      <c r="L49" s="22" t="s">
        <v>28</v>
      </c>
      <c r="M49" s="22" t="s">
        <v>29</v>
      </c>
      <c r="N49" s="18">
        <f t="shared" si="12"/>
        <v>2</v>
      </c>
      <c r="O49" s="30">
        <f t="shared" si="19"/>
        <v>0.6666666667</v>
      </c>
      <c r="P49" s="20">
        <f t="shared" si="14"/>
        <v>0.6666666667</v>
      </c>
      <c r="Q49" s="31" t="s">
        <v>28</v>
      </c>
      <c r="R49" s="31" t="s">
        <v>28</v>
      </c>
      <c r="S49" s="31" t="s">
        <v>29</v>
      </c>
      <c r="T49" s="29">
        <f t="shared" si="20"/>
        <v>2</v>
      </c>
      <c r="U49" s="30">
        <f t="shared" si="21"/>
        <v>0.6666666667</v>
      </c>
      <c r="V49" s="32" t="s">
        <v>28</v>
      </c>
      <c r="W49" s="32" t="s">
        <v>31</v>
      </c>
      <c r="X49" s="32" t="s">
        <v>29</v>
      </c>
      <c r="Y49" s="24">
        <v>46132.0</v>
      </c>
      <c r="Z49" s="5"/>
      <c r="AA49" s="5"/>
      <c r="AB49" s="5"/>
    </row>
    <row r="50" ht="15.75" customHeight="1">
      <c r="A50" s="21">
        <v>553.0</v>
      </c>
      <c r="B50" s="21" t="s">
        <v>46</v>
      </c>
      <c r="C50" s="21" t="s">
        <v>41</v>
      </c>
      <c r="D50" s="21" t="s">
        <v>44</v>
      </c>
      <c r="E50" s="17" t="s">
        <v>30</v>
      </c>
      <c r="F50" s="17" t="s">
        <v>30</v>
      </c>
      <c r="G50" s="17" t="s">
        <v>30</v>
      </c>
      <c r="H50" s="29">
        <f t="shared" si="17"/>
        <v>0</v>
      </c>
      <c r="I50" s="30">
        <f t="shared" si="18"/>
        <v>0</v>
      </c>
      <c r="J50" s="20" t="str">
        <f t="shared" si="11"/>
        <v>XXX</v>
      </c>
      <c r="K50" s="16" t="s">
        <v>29</v>
      </c>
      <c r="L50" s="16" t="s">
        <v>29</v>
      </c>
      <c r="M50" s="16" t="s">
        <v>29</v>
      </c>
      <c r="N50" s="18">
        <f t="shared" si="12"/>
        <v>0</v>
      </c>
      <c r="O50" s="30">
        <f t="shared" si="19"/>
        <v>0</v>
      </c>
      <c r="P50" s="20">
        <f t="shared" si="14"/>
        <v>0</v>
      </c>
      <c r="Q50" s="31" t="s">
        <v>33</v>
      </c>
      <c r="R50" s="31" t="s">
        <v>28</v>
      </c>
      <c r="S50" s="31" t="s">
        <v>28</v>
      </c>
      <c r="T50" s="29">
        <f t="shared" si="20"/>
        <v>2</v>
      </c>
      <c r="U50" s="30">
        <f t="shared" si="21"/>
        <v>0.6666666667</v>
      </c>
      <c r="V50" s="32" t="s">
        <v>33</v>
      </c>
      <c r="W50" s="32" t="s">
        <v>28</v>
      </c>
      <c r="X50" s="32" t="s">
        <v>31</v>
      </c>
      <c r="Y50" s="24">
        <v>46132.0</v>
      </c>
      <c r="Z50" s="5"/>
      <c r="AA50" s="5"/>
      <c r="AB50" s="5"/>
    </row>
    <row r="51" ht="15.75" customHeight="1">
      <c r="A51" s="21">
        <v>561.0</v>
      </c>
      <c r="B51" s="21" t="s">
        <v>46</v>
      </c>
      <c r="C51" s="21" t="s">
        <v>41</v>
      </c>
      <c r="D51" s="21" t="s">
        <v>45</v>
      </c>
      <c r="E51" s="22" t="s">
        <v>31</v>
      </c>
      <c r="F51" s="17" t="s">
        <v>30</v>
      </c>
      <c r="G51" s="17" t="s">
        <v>30</v>
      </c>
      <c r="H51" s="29">
        <f t="shared" si="17"/>
        <v>1</v>
      </c>
      <c r="I51" s="30">
        <f t="shared" si="18"/>
        <v>0.3333333333</v>
      </c>
      <c r="J51" s="20">
        <f t="shared" si="11"/>
        <v>1</v>
      </c>
      <c r="K51" s="22" t="s">
        <v>31</v>
      </c>
      <c r="L51" s="22" t="s">
        <v>33</v>
      </c>
      <c r="M51" s="22" t="s">
        <v>31</v>
      </c>
      <c r="N51" s="18">
        <f t="shared" si="12"/>
        <v>1</v>
      </c>
      <c r="O51" s="30">
        <f t="shared" si="19"/>
        <v>0.3333333333</v>
      </c>
      <c r="P51" s="20">
        <f t="shared" si="14"/>
        <v>0.3333333333</v>
      </c>
      <c r="Q51" s="31" t="s">
        <v>31</v>
      </c>
      <c r="R51" s="31" t="s">
        <v>33</v>
      </c>
      <c r="S51" s="31" t="s">
        <v>33</v>
      </c>
      <c r="T51" s="29">
        <f t="shared" si="20"/>
        <v>2</v>
      </c>
      <c r="U51" s="30">
        <f t="shared" si="21"/>
        <v>0.6666666667</v>
      </c>
      <c r="V51" s="32" t="s">
        <v>31</v>
      </c>
      <c r="W51" s="32" t="s">
        <v>31</v>
      </c>
      <c r="X51" s="32" t="s">
        <v>33</v>
      </c>
      <c r="Y51" s="24">
        <v>46132.0</v>
      </c>
      <c r="Z51" s="5"/>
      <c r="AA51" s="5"/>
      <c r="AB51" s="5"/>
    </row>
    <row r="52" ht="15.75" customHeight="1">
      <c r="A52" s="21">
        <v>562.0</v>
      </c>
      <c r="B52" s="21" t="s">
        <v>46</v>
      </c>
      <c r="C52" s="21" t="s">
        <v>41</v>
      </c>
      <c r="D52" s="21" t="s">
        <v>45</v>
      </c>
      <c r="E52" s="17" t="s">
        <v>30</v>
      </c>
      <c r="F52" s="17" t="s">
        <v>30</v>
      </c>
      <c r="G52" s="17" t="s">
        <v>30</v>
      </c>
      <c r="H52" s="29">
        <f t="shared" si="17"/>
        <v>0</v>
      </c>
      <c r="I52" s="30">
        <f t="shared" si="18"/>
        <v>0</v>
      </c>
      <c r="J52" s="20" t="str">
        <f t="shared" si="11"/>
        <v>XXX</v>
      </c>
      <c r="K52" s="16" t="s">
        <v>33</v>
      </c>
      <c r="L52" s="16" t="s">
        <v>28</v>
      </c>
      <c r="M52" s="16" t="s">
        <v>29</v>
      </c>
      <c r="N52" s="18">
        <f t="shared" si="12"/>
        <v>2</v>
      </c>
      <c r="O52" s="30">
        <f t="shared" si="19"/>
        <v>0.6666666667</v>
      </c>
      <c r="P52" s="20">
        <f t="shared" si="14"/>
        <v>0.6666666667</v>
      </c>
      <c r="Q52" s="31" t="s">
        <v>33</v>
      </c>
      <c r="R52" s="31" t="s">
        <v>28</v>
      </c>
      <c r="S52" s="31" t="s">
        <v>33</v>
      </c>
      <c r="T52" s="29">
        <f t="shared" si="20"/>
        <v>1</v>
      </c>
      <c r="U52" s="30">
        <f t="shared" si="21"/>
        <v>0.3333333333</v>
      </c>
      <c r="V52" s="32" t="s">
        <v>28</v>
      </c>
      <c r="W52" s="32" t="s">
        <v>28</v>
      </c>
      <c r="X52" s="32" t="s">
        <v>29</v>
      </c>
      <c r="Y52" s="24">
        <v>46132.0</v>
      </c>
      <c r="Z52" s="5"/>
      <c r="AA52" s="5"/>
      <c r="AB52" s="5"/>
    </row>
    <row r="53" ht="15.75" customHeight="1">
      <c r="A53" s="21">
        <v>564.0</v>
      </c>
      <c r="B53" s="21" t="s">
        <v>46</v>
      </c>
      <c r="C53" s="21" t="s">
        <v>41</v>
      </c>
      <c r="D53" s="21" t="s">
        <v>45</v>
      </c>
      <c r="E53" s="17" t="s">
        <v>30</v>
      </c>
      <c r="F53" s="17" t="s">
        <v>30</v>
      </c>
      <c r="G53" s="17" t="s">
        <v>30</v>
      </c>
      <c r="H53" s="29">
        <f t="shared" si="17"/>
        <v>0</v>
      </c>
      <c r="I53" s="30">
        <f t="shared" si="18"/>
        <v>0</v>
      </c>
      <c r="J53" s="20" t="str">
        <f t="shared" si="11"/>
        <v>XXX</v>
      </c>
      <c r="K53" s="22" t="s">
        <v>31</v>
      </c>
      <c r="L53" s="22" t="s">
        <v>33</v>
      </c>
      <c r="M53" s="22" t="s">
        <v>28</v>
      </c>
      <c r="N53" s="18">
        <f t="shared" si="12"/>
        <v>3</v>
      </c>
      <c r="O53" s="30">
        <f t="shared" si="19"/>
        <v>1</v>
      </c>
      <c r="P53" s="20">
        <f t="shared" si="14"/>
        <v>1</v>
      </c>
      <c r="Q53" s="31" t="s">
        <v>28</v>
      </c>
      <c r="R53" s="31" t="s">
        <v>33</v>
      </c>
      <c r="S53" s="31" t="s">
        <v>33</v>
      </c>
      <c r="T53" s="29">
        <f t="shared" si="20"/>
        <v>1</v>
      </c>
      <c r="U53" s="30">
        <f t="shared" si="21"/>
        <v>0.3333333333</v>
      </c>
      <c r="V53" s="32" t="s">
        <v>31</v>
      </c>
      <c r="W53" s="32" t="s">
        <v>33</v>
      </c>
      <c r="X53" s="32" t="s">
        <v>28</v>
      </c>
      <c r="Y53" s="24">
        <v>46132.0</v>
      </c>
      <c r="Z53" s="5"/>
      <c r="AA53" s="5"/>
      <c r="AB53" s="5"/>
    </row>
    <row r="54" ht="15.75" customHeight="1">
      <c r="A54" s="21">
        <v>1.0</v>
      </c>
      <c r="B54" s="21" t="s">
        <v>49</v>
      </c>
      <c r="C54" s="21" t="s">
        <v>26</v>
      </c>
      <c r="D54" s="21" t="s">
        <v>27</v>
      </c>
      <c r="E54" s="17" t="s">
        <v>30</v>
      </c>
      <c r="F54" s="16" t="s">
        <v>31</v>
      </c>
      <c r="G54" s="17" t="s">
        <v>30</v>
      </c>
      <c r="H54" s="29">
        <f t="shared" si="17"/>
        <v>1</v>
      </c>
      <c r="I54" s="30">
        <f t="shared" si="18"/>
        <v>0.3333333333</v>
      </c>
      <c r="J54" s="20">
        <f t="shared" si="11"/>
        <v>1</v>
      </c>
      <c r="K54" s="16" t="s">
        <v>28</v>
      </c>
      <c r="L54" s="16" t="s">
        <v>31</v>
      </c>
      <c r="M54" s="16" t="s">
        <v>29</v>
      </c>
      <c r="N54" s="18">
        <f t="shared" si="12"/>
        <v>3</v>
      </c>
      <c r="O54" s="30">
        <f t="shared" si="19"/>
        <v>1</v>
      </c>
      <c r="P54" s="20">
        <f t="shared" si="14"/>
        <v>1</v>
      </c>
      <c r="Q54" s="31" t="s">
        <v>28</v>
      </c>
      <c r="R54" s="31" t="s">
        <v>31</v>
      </c>
      <c r="S54" s="31" t="s">
        <v>29</v>
      </c>
      <c r="T54" s="29">
        <f t="shared" si="20"/>
        <v>3</v>
      </c>
      <c r="U54" s="30">
        <f t="shared" si="21"/>
        <v>1</v>
      </c>
      <c r="V54" s="32" t="s">
        <v>28</v>
      </c>
      <c r="W54" s="32" t="s">
        <v>31</v>
      </c>
      <c r="X54" s="32" t="s">
        <v>29</v>
      </c>
      <c r="Y54" s="24">
        <v>46132.0</v>
      </c>
      <c r="Z54" s="5"/>
      <c r="AA54" s="5"/>
      <c r="AB54" s="5"/>
    </row>
    <row r="55" ht="15.75" customHeight="1">
      <c r="A55" s="21">
        <v>2.0</v>
      </c>
      <c r="B55" s="21" t="s">
        <v>49</v>
      </c>
      <c r="C55" s="21" t="s">
        <v>26</v>
      </c>
      <c r="D55" s="21" t="s">
        <v>27</v>
      </c>
      <c r="E55" s="17" t="s">
        <v>30</v>
      </c>
      <c r="F55" s="17" t="s">
        <v>30</v>
      </c>
      <c r="G55" s="17" t="s">
        <v>30</v>
      </c>
      <c r="H55" s="29">
        <f t="shared" si="17"/>
        <v>0</v>
      </c>
      <c r="I55" s="30">
        <f t="shared" si="18"/>
        <v>0</v>
      </c>
      <c r="J55" s="20" t="str">
        <f t="shared" si="11"/>
        <v>XXX</v>
      </c>
      <c r="K55" s="22" t="s">
        <v>28</v>
      </c>
      <c r="L55" s="22" t="s">
        <v>33</v>
      </c>
      <c r="M55" s="22" t="s">
        <v>28</v>
      </c>
      <c r="N55" s="18">
        <f t="shared" si="12"/>
        <v>1</v>
      </c>
      <c r="O55" s="30">
        <f t="shared" si="19"/>
        <v>0.3333333333</v>
      </c>
      <c r="P55" s="20">
        <f t="shared" si="14"/>
        <v>0.3333333333</v>
      </c>
      <c r="Q55" s="31" t="s">
        <v>28</v>
      </c>
      <c r="R55" s="31" t="s">
        <v>29</v>
      </c>
      <c r="S55" s="31" t="s">
        <v>31</v>
      </c>
      <c r="T55" s="29">
        <f t="shared" si="20"/>
        <v>2</v>
      </c>
      <c r="U55" s="30">
        <f t="shared" si="21"/>
        <v>0.6666666667</v>
      </c>
      <c r="V55" s="32" t="s">
        <v>28</v>
      </c>
      <c r="W55" s="32" t="s">
        <v>29</v>
      </c>
      <c r="X55" s="32" t="s">
        <v>33</v>
      </c>
      <c r="Y55" s="24">
        <v>46132.0</v>
      </c>
      <c r="Z55" s="5"/>
      <c r="AA55" s="5"/>
      <c r="AB55" s="5"/>
    </row>
    <row r="56" ht="15.75" customHeight="1">
      <c r="A56" s="21">
        <v>3.0</v>
      </c>
      <c r="B56" s="21" t="s">
        <v>49</v>
      </c>
      <c r="C56" s="21" t="s">
        <v>26</v>
      </c>
      <c r="D56" s="21" t="s">
        <v>27</v>
      </c>
      <c r="E56" s="17" t="s">
        <v>30</v>
      </c>
      <c r="F56" s="17" t="s">
        <v>30</v>
      </c>
      <c r="G56" s="17" t="s">
        <v>30</v>
      </c>
      <c r="H56" s="29">
        <f t="shared" si="17"/>
        <v>0</v>
      </c>
      <c r="I56" s="30">
        <f t="shared" si="18"/>
        <v>0</v>
      </c>
      <c r="J56" s="20" t="str">
        <f t="shared" si="11"/>
        <v>XXX</v>
      </c>
      <c r="K56" s="16" t="s">
        <v>29</v>
      </c>
      <c r="L56" s="16" t="s">
        <v>33</v>
      </c>
      <c r="M56" s="16" t="s">
        <v>29</v>
      </c>
      <c r="N56" s="18">
        <f t="shared" si="12"/>
        <v>1</v>
      </c>
      <c r="O56" s="30">
        <f t="shared" si="19"/>
        <v>0.3333333333</v>
      </c>
      <c r="P56" s="20">
        <f t="shared" si="14"/>
        <v>0.3333333333</v>
      </c>
      <c r="Q56" s="31" t="s">
        <v>31</v>
      </c>
      <c r="R56" s="31" t="s">
        <v>33</v>
      </c>
      <c r="S56" s="31" t="s">
        <v>29</v>
      </c>
      <c r="T56" s="29">
        <f t="shared" si="20"/>
        <v>1</v>
      </c>
      <c r="U56" s="30">
        <f t="shared" si="21"/>
        <v>0.3333333333</v>
      </c>
      <c r="V56" s="32" t="s">
        <v>33</v>
      </c>
      <c r="W56" s="32" t="s">
        <v>28</v>
      </c>
      <c r="X56" s="32" t="s">
        <v>29</v>
      </c>
      <c r="Y56" s="24">
        <v>46132.0</v>
      </c>
      <c r="Z56" s="5"/>
      <c r="AA56" s="5"/>
      <c r="AB56" s="5"/>
    </row>
    <row r="57" ht="15.75" customHeight="1">
      <c r="A57" s="21">
        <v>21.0</v>
      </c>
      <c r="B57" s="21" t="s">
        <v>49</v>
      </c>
      <c r="C57" s="21" t="s">
        <v>26</v>
      </c>
      <c r="D57" s="21" t="s">
        <v>32</v>
      </c>
      <c r="E57" s="22" t="s">
        <v>31</v>
      </c>
      <c r="F57" s="17" t="s">
        <v>30</v>
      </c>
      <c r="G57" s="17" t="s">
        <v>30</v>
      </c>
      <c r="H57" s="29">
        <f t="shared" si="17"/>
        <v>1</v>
      </c>
      <c r="I57" s="30">
        <f t="shared" si="18"/>
        <v>0.3333333333</v>
      </c>
      <c r="J57" s="20">
        <f t="shared" si="11"/>
        <v>1</v>
      </c>
      <c r="K57" s="22" t="s">
        <v>31</v>
      </c>
      <c r="L57" s="22" t="s">
        <v>33</v>
      </c>
      <c r="M57" s="22" t="s">
        <v>28</v>
      </c>
      <c r="N57" s="18">
        <f t="shared" si="12"/>
        <v>3</v>
      </c>
      <c r="O57" s="30">
        <f t="shared" si="19"/>
        <v>1</v>
      </c>
      <c r="P57" s="20">
        <f t="shared" si="14"/>
        <v>1</v>
      </c>
      <c r="Q57" s="31" t="s">
        <v>31</v>
      </c>
      <c r="R57" s="31" t="s">
        <v>33</v>
      </c>
      <c r="S57" s="31" t="s">
        <v>29</v>
      </c>
      <c r="T57" s="29">
        <f t="shared" si="20"/>
        <v>2</v>
      </c>
      <c r="U57" s="30">
        <f t="shared" si="21"/>
        <v>0.6666666667</v>
      </c>
      <c r="V57" s="32" t="s">
        <v>31</v>
      </c>
      <c r="W57" s="32" t="s">
        <v>33</v>
      </c>
      <c r="X57" s="32" t="s">
        <v>28</v>
      </c>
      <c r="Y57" s="24">
        <v>46132.0</v>
      </c>
      <c r="Z57" s="5"/>
      <c r="AA57" s="5"/>
      <c r="AB57" s="5"/>
    </row>
    <row r="58" ht="15.75" customHeight="1">
      <c r="A58" s="21">
        <v>22.0</v>
      </c>
      <c r="B58" s="21" t="s">
        <v>49</v>
      </c>
      <c r="C58" s="21" t="s">
        <v>26</v>
      </c>
      <c r="D58" s="21" t="s">
        <v>32</v>
      </c>
      <c r="E58" s="17" t="s">
        <v>30</v>
      </c>
      <c r="F58" s="17" t="s">
        <v>30</v>
      </c>
      <c r="G58" s="16" t="s">
        <v>29</v>
      </c>
      <c r="H58" s="29">
        <f t="shared" si="17"/>
        <v>1</v>
      </c>
      <c r="I58" s="30">
        <f t="shared" si="18"/>
        <v>0.3333333333</v>
      </c>
      <c r="J58" s="20">
        <f t="shared" si="11"/>
        <v>1</v>
      </c>
      <c r="K58" s="16" t="s">
        <v>29</v>
      </c>
      <c r="L58" s="16" t="s">
        <v>31</v>
      </c>
      <c r="M58" s="16" t="s">
        <v>29</v>
      </c>
      <c r="N58" s="18">
        <f t="shared" si="12"/>
        <v>2</v>
      </c>
      <c r="O58" s="30">
        <f t="shared" si="19"/>
        <v>0.6666666667</v>
      </c>
      <c r="P58" s="20">
        <f t="shared" si="14"/>
        <v>0.6666666667</v>
      </c>
      <c r="Q58" s="31" t="s">
        <v>33</v>
      </c>
      <c r="R58" s="31" t="s">
        <v>31</v>
      </c>
      <c r="S58" s="31" t="s">
        <v>29</v>
      </c>
      <c r="T58" s="29">
        <f t="shared" si="20"/>
        <v>3</v>
      </c>
      <c r="U58" s="30">
        <f t="shared" si="21"/>
        <v>1</v>
      </c>
      <c r="V58" s="32" t="s">
        <v>33</v>
      </c>
      <c r="W58" s="32" t="s">
        <v>31</v>
      </c>
      <c r="X58" s="32" t="s">
        <v>29</v>
      </c>
      <c r="Y58" s="24">
        <v>46132.0</v>
      </c>
      <c r="Z58" s="5"/>
      <c r="AA58" s="5"/>
      <c r="AB58" s="5"/>
    </row>
    <row r="59" ht="15.75" customHeight="1">
      <c r="A59" s="21">
        <v>23.0</v>
      </c>
      <c r="B59" s="21" t="s">
        <v>49</v>
      </c>
      <c r="C59" s="21" t="s">
        <v>26</v>
      </c>
      <c r="D59" s="21" t="s">
        <v>32</v>
      </c>
      <c r="E59" s="22" t="s">
        <v>28</v>
      </c>
      <c r="F59" s="17" t="s">
        <v>30</v>
      </c>
      <c r="G59" s="17" t="s">
        <v>30</v>
      </c>
      <c r="H59" s="29">
        <f t="shared" si="17"/>
        <v>1</v>
      </c>
      <c r="I59" s="30">
        <f t="shared" si="18"/>
        <v>0.3333333333</v>
      </c>
      <c r="J59" s="20">
        <f t="shared" si="11"/>
        <v>1</v>
      </c>
      <c r="K59" s="22" t="s">
        <v>28</v>
      </c>
      <c r="L59" s="22" t="s">
        <v>31</v>
      </c>
      <c r="M59" s="22" t="s">
        <v>31</v>
      </c>
      <c r="N59" s="18">
        <f t="shared" si="12"/>
        <v>3</v>
      </c>
      <c r="O59" s="30">
        <f t="shared" si="19"/>
        <v>1</v>
      </c>
      <c r="P59" s="20">
        <f t="shared" si="14"/>
        <v>1</v>
      </c>
      <c r="Q59" s="31" t="s">
        <v>28</v>
      </c>
      <c r="R59" s="31" t="s">
        <v>31</v>
      </c>
      <c r="S59" s="31" t="s">
        <v>31</v>
      </c>
      <c r="T59" s="29">
        <f t="shared" si="20"/>
        <v>3</v>
      </c>
      <c r="U59" s="30">
        <f t="shared" si="21"/>
        <v>1</v>
      </c>
      <c r="V59" s="32" t="s">
        <v>28</v>
      </c>
      <c r="W59" s="32" t="s">
        <v>31</v>
      </c>
      <c r="X59" s="32" t="s">
        <v>31</v>
      </c>
      <c r="Y59" s="24">
        <v>46132.0</v>
      </c>
      <c r="Z59" s="5"/>
      <c r="AA59" s="5"/>
      <c r="AB59" s="5"/>
    </row>
    <row r="60" ht="15.75" customHeight="1">
      <c r="A60" s="21">
        <v>41.0</v>
      </c>
      <c r="B60" s="21" t="s">
        <v>49</v>
      </c>
      <c r="C60" s="21" t="s">
        <v>26</v>
      </c>
      <c r="D60" s="21" t="s">
        <v>34</v>
      </c>
      <c r="E60" s="17" t="s">
        <v>30</v>
      </c>
      <c r="F60" s="17" t="s">
        <v>30</v>
      </c>
      <c r="G60" s="16" t="s">
        <v>28</v>
      </c>
      <c r="H60" s="29">
        <f t="shared" si="17"/>
        <v>0</v>
      </c>
      <c r="I60" s="30">
        <f t="shared" si="18"/>
        <v>0</v>
      </c>
      <c r="J60" s="20">
        <f t="shared" si="11"/>
        <v>0</v>
      </c>
      <c r="K60" s="16" t="s">
        <v>33</v>
      </c>
      <c r="L60" s="17" t="s">
        <v>30</v>
      </c>
      <c r="M60" s="16" t="s">
        <v>28</v>
      </c>
      <c r="N60" s="18">
        <f t="shared" si="12"/>
        <v>0</v>
      </c>
      <c r="O60" s="30">
        <f t="shared" si="19"/>
        <v>0</v>
      </c>
      <c r="P60" s="20">
        <f t="shared" si="14"/>
        <v>0</v>
      </c>
      <c r="Q60" s="31" t="s">
        <v>33</v>
      </c>
      <c r="R60" s="31" t="s">
        <v>29</v>
      </c>
      <c r="S60" s="31" t="s">
        <v>33</v>
      </c>
      <c r="T60" s="29">
        <f t="shared" si="20"/>
        <v>0</v>
      </c>
      <c r="U60" s="30">
        <f t="shared" si="21"/>
        <v>0</v>
      </c>
      <c r="V60" s="32" t="s">
        <v>31</v>
      </c>
      <c r="W60" s="32" t="s">
        <v>33</v>
      </c>
      <c r="X60" s="32" t="s">
        <v>29</v>
      </c>
      <c r="Y60" s="24">
        <v>46132.0</v>
      </c>
      <c r="Z60" s="5"/>
      <c r="AA60" s="5"/>
      <c r="AB60" s="5"/>
    </row>
    <row r="61" ht="15.75" customHeight="1">
      <c r="A61" s="21">
        <v>42.0</v>
      </c>
      <c r="B61" s="21" t="s">
        <v>49</v>
      </c>
      <c r="C61" s="21" t="s">
        <v>26</v>
      </c>
      <c r="D61" s="21" t="s">
        <v>34</v>
      </c>
      <c r="E61" s="17" t="s">
        <v>30</v>
      </c>
      <c r="F61" s="22" t="s">
        <v>28</v>
      </c>
      <c r="G61" s="22" t="s">
        <v>31</v>
      </c>
      <c r="H61" s="29">
        <f t="shared" si="17"/>
        <v>2</v>
      </c>
      <c r="I61" s="30">
        <f t="shared" si="18"/>
        <v>0.6666666667</v>
      </c>
      <c r="J61" s="20">
        <f t="shared" si="11"/>
        <v>1</v>
      </c>
      <c r="K61" s="22" t="s">
        <v>33</v>
      </c>
      <c r="L61" s="22" t="s">
        <v>28</v>
      </c>
      <c r="M61" s="22" t="s">
        <v>31</v>
      </c>
      <c r="N61" s="18">
        <f t="shared" si="12"/>
        <v>3</v>
      </c>
      <c r="O61" s="30">
        <f t="shared" si="19"/>
        <v>1</v>
      </c>
      <c r="P61" s="20">
        <f t="shared" si="14"/>
        <v>1</v>
      </c>
      <c r="Q61" s="31" t="s">
        <v>31</v>
      </c>
      <c r="R61" s="31" t="s">
        <v>28</v>
      </c>
      <c r="S61" s="31" t="s">
        <v>31</v>
      </c>
      <c r="T61" s="29">
        <f t="shared" si="20"/>
        <v>2</v>
      </c>
      <c r="U61" s="30">
        <f t="shared" si="21"/>
        <v>0.6666666667</v>
      </c>
      <c r="V61" s="32" t="s">
        <v>33</v>
      </c>
      <c r="W61" s="32" t="s">
        <v>28</v>
      </c>
      <c r="X61" s="32" t="s">
        <v>31</v>
      </c>
      <c r="Y61" s="24">
        <v>46132.0</v>
      </c>
      <c r="Z61" s="5"/>
      <c r="AA61" s="5"/>
      <c r="AB61" s="5"/>
    </row>
    <row r="62" ht="15.75" customHeight="1">
      <c r="A62" s="21">
        <v>43.0</v>
      </c>
      <c r="B62" s="21" t="s">
        <v>49</v>
      </c>
      <c r="C62" s="21" t="s">
        <v>26</v>
      </c>
      <c r="D62" s="21" t="s">
        <v>34</v>
      </c>
      <c r="E62" s="17" t="s">
        <v>30</v>
      </c>
      <c r="F62" s="17" t="s">
        <v>30</v>
      </c>
      <c r="G62" s="16" t="s">
        <v>33</v>
      </c>
      <c r="H62" s="29">
        <f t="shared" si="17"/>
        <v>1</v>
      </c>
      <c r="I62" s="30">
        <f t="shared" si="18"/>
        <v>0.3333333333</v>
      </c>
      <c r="J62" s="20">
        <f t="shared" si="11"/>
        <v>1</v>
      </c>
      <c r="K62" s="16" t="s">
        <v>29</v>
      </c>
      <c r="L62" s="16" t="s">
        <v>31</v>
      </c>
      <c r="M62" s="16" t="s">
        <v>33</v>
      </c>
      <c r="N62" s="18">
        <f t="shared" si="12"/>
        <v>2</v>
      </c>
      <c r="O62" s="30">
        <f t="shared" si="19"/>
        <v>0.6666666667</v>
      </c>
      <c r="P62" s="20">
        <f t="shared" si="14"/>
        <v>0.6666666667</v>
      </c>
      <c r="Q62" s="31" t="s">
        <v>29</v>
      </c>
      <c r="R62" s="31" t="s">
        <v>28</v>
      </c>
      <c r="S62" s="31" t="s">
        <v>33</v>
      </c>
      <c r="T62" s="29">
        <f t="shared" si="20"/>
        <v>3</v>
      </c>
      <c r="U62" s="30">
        <f t="shared" si="21"/>
        <v>1</v>
      </c>
      <c r="V62" s="32" t="s">
        <v>29</v>
      </c>
      <c r="W62" s="32" t="s">
        <v>28</v>
      </c>
      <c r="X62" s="32" t="s">
        <v>33</v>
      </c>
      <c r="Y62" s="24">
        <v>46132.0</v>
      </c>
      <c r="Z62" s="5"/>
      <c r="AA62" s="5"/>
      <c r="AB62" s="5"/>
    </row>
    <row r="63" ht="15.75" customHeight="1">
      <c r="A63" s="21">
        <v>81.0</v>
      </c>
      <c r="B63" s="21" t="s">
        <v>49</v>
      </c>
      <c r="C63" s="21" t="s">
        <v>26</v>
      </c>
      <c r="D63" s="21" t="s">
        <v>50</v>
      </c>
      <c r="E63" s="17" t="s">
        <v>30</v>
      </c>
      <c r="F63" s="17" t="s">
        <v>30</v>
      </c>
      <c r="G63" s="22" t="s">
        <v>31</v>
      </c>
      <c r="H63" s="29">
        <f t="shared" si="17"/>
        <v>1</v>
      </c>
      <c r="I63" s="30">
        <f t="shared" si="18"/>
        <v>0.3333333333</v>
      </c>
      <c r="J63" s="20">
        <f t="shared" si="11"/>
        <v>1</v>
      </c>
      <c r="K63" s="22" t="s">
        <v>33</v>
      </c>
      <c r="L63" s="22" t="s">
        <v>33</v>
      </c>
      <c r="M63" s="22" t="s">
        <v>31</v>
      </c>
      <c r="N63" s="18">
        <f t="shared" si="12"/>
        <v>3</v>
      </c>
      <c r="O63" s="30">
        <f t="shared" si="19"/>
        <v>1</v>
      </c>
      <c r="P63" s="20">
        <f t="shared" si="14"/>
        <v>1</v>
      </c>
      <c r="Q63" s="31" t="s">
        <v>33</v>
      </c>
      <c r="R63" s="31" t="s">
        <v>33</v>
      </c>
      <c r="S63" s="31" t="s">
        <v>31</v>
      </c>
      <c r="T63" s="29">
        <f t="shared" si="20"/>
        <v>3</v>
      </c>
      <c r="U63" s="30">
        <f t="shared" si="21"/>
        <v>1</v>
      </c>
      <c r="V63" s="32" t="s">
        <v>33</v>
      </c>
      <c r="W63" s="32" t="s">
        <v>33</v>
      </c>
      <c r="X63" s="32" t="s">
        <v>31</v>
      </c>
      <c r="Y63" s="24">
        <v>46132.0</v>
      </c>
      <c r="Z63" s="5"/>
      <c r="AA63" s="5"/>
      <c r="AB63" s="5"/>
    </row>
    <row r="64" ht="15.75" customHeight="1">
      <c r="A64" s="21">
        <v>82.0</v>
      </c>
      <c r="B64" s="21" t="s">
        <v>49</v>
      </c>
      <c r="C64" s="21" t="s">
        <v>26</v>
      </c>
      <c r="D64" s="21" t="s">
        <v>50</v>
      </c>
      <c r="E64" s="17" t="s">
        <v>30</v>
      </c>
      <c r="F64" s="17" t="s">
        <v>30</v>
      </c>
      <c r="G64" s="17" t="s">
        <v>30</v>
      </c>
      <c r="H64" s="29">
        <f t="shared" si="17"/>
        <v>0</v>
      </c>
      <c r="I64" s="30">
        <f t="shared" si="18"/>
        <v>0</v>
      </c>
      <c r="J64" s="20" t="str">
        <f t="shared" si="11"/>
        <v>XXX</v>
      </c>
      <c r="K64" s="16" t="s">
        <v>33</v>
      </c>
      <c r="L64" s="16" t="s">
        <v>33</v>
      </c>
      <c r="M64" s="16" t="s">
        <v>31</v>
      </c>
      <c r="N64" s="18">
        <f t="shared" si="12"/>
        <v>3</v>
      </c>
      <c r="O64" s="30">
        <f t="shared" si="19"/>
        <v>1</v>
      </c>
      <c r="P64" s="20">
        <f t="shared" si="14"/>
        <v>1</v>
      </c>
      <c r="Q64" s="31" t="s">
        <v>33</v>
      </c>
      <c r="R64" s="31" t="s">
        <v>33</v>
      </c>
      <c r="S64" s="31" t="s">
        <v>31</v>
      </c>
      <c r="T64" s="29">
        <f t="shared" si="20"/>
        <v>3</v>
      </c>
      <c r="U64" s="30">
        <f t="shared" si="21"/>
        <v>1</v>
      </c>
      <c r="V64" s="32" t="s">
        <v>33</v>
      </c>
      <c r="W64" s="32" t="s">
        <v>33</v>
      </c>
      <c r="X64" s="32" t="s">
        <v>31</v>
      </c>
      <c r="Y64" s="24">
        <v>46132.0</v>
      </c>
      <c r="Z64" s="5"/>
      <c r="AA64" s="5"/>
      <c r="AB64" s="5"/>
    </row>
    <row r="65" ht="15.75" customHeight="1">
      <c r="A65" s="21">
        <v>85.0</v>
      </c>
      <c r="B65" s="21" t="s">
        <v>49</v>
      </c>
      <c r="C65" s="21" t="s">
        <v>26</v>
      </c>
      <c r="D65" s="21" t="s">
        <v>50</v>
      </c>
      <c r="E65" s="17" t="s">
        <v>30</v>
      </c>
      <c r="F65" s="17" t="s">
        <v>30</v>
      </c>
      <c r="G65" s="22" t="s">
        <v>31</v>
      </c>
      <c r="H65" s="29">
        <f t="shared" si="17"/>
        <v>0</v>
      </c>
      <c r="I65" s="30">
        <f t="shared" si="18"/>
        <v>0</v>
      </c>
      <c r="J65" s="20">
        <f t="shared" si="11"/>
        <v>0</v>
      </c>
      <c r="K65" s="22" t="s">
        <v>33</v>
      </c>
      <c r="L65" s="22" t="s">
        <v>33</v>
      </c>
      <c r="M65" s="22" t="s">
        <v>31</v>
      </c>
      <c r="N65" s="18">
        <f t="shared" si="12"/>
        <v>2</v>
      </c>
      <c r="O65" s="30">
        <f t="shared" si="19"/>
        <v>0.6666666667</v>
      </c>
      <c r="P65" s="20">
        <f t="shared" si="14"/>
        <v>0.6666666667</v>
      </c>
      <c r="Q65" s="31" t="s">
        <v>31</v>
      </c>
      <c r="R65" s="31" t="s">
        <v>33</v>
      </c>
      <c r="S65" s="31" t="s">
        <v>29</v>
      </c>
      <c r="T65" s="29">
        <f t="shared" si="20"/>
        <v>2</v>
      </c>
      <c r="U65" s="30">
        <f t="shared" si="21"/>
        <v>0.6666666667</v>
      </c>
      <c r="V65" s="32" t="s">
        <v>33</v>
      </c>
      <c r="W65" s="32" t="s">
        <v>33</v>
      </c>
      <c r="X65" s="32" t="s">
        <v>29</v>
      </c>
      <c r="Y65" s="24">
        <v>46132.0</v>
      </c>
      <c r="Z65" s="5"/>
      <c r="AA65" s="5"/>
      <c r="AB65" s="5"/>
    </row>
    <row r="66" ht="15.75" customHeight="1">
      <c r="A66" s="21">
        <v>91.0</v>
      </c>
      <c r="B66" s="21" t="s">
        <v>49</v>
      </c>
      <c r="C66" s="21" t="s">
        <v>36</v>
      </c>
      <c r="D66" s="21" t="s">
        <v>37</v>
      </c>
      <c r="E66" s="17" t="s">
        <v>30</v>
      </c>
      <c r="F66" s="17" t="s">
        <v>30</v>
      </c>
      <c r="G66" s="17" t="s">
        <v>30</v>
      </c>
      <c r="H66" s="29">
        <f t="shared" si="17"/>
        <v>0</v>
      </c>
      <c r="I66" s="30">
        <f t="shared" si="18"/>
        <v>0</v>
      </c>
      <c r="J66" s="20" t="str">
        <f t="shared" si="11"/>
        <v>XXX</v>
      </c>
      <c r="K66" s="16" t="s">
        <v>29</v>
      </c>
      <c r="L66" s="16" t="s">
        <v>29</v>
      </c>
      <c r="M66" s="16" t="s">
        <v>33</v>
      </c>
      <c r="N66" s="18">
        <f t="shared" si="12"/>
        <v>2</v>
      </c>
      <c r="O66" s="30">
        <f t="shared" si="19"/>
        <v>0.6666666667</v>
      </c>
      <c r="P66" s="20">
        <f t="shared" si="14"/>
        <v>0.6666666667</v>
      </c>
      <c r="Q66" s="31" t="s">
        <v>29</v>
      </c>
      <c r="R66" s="31" t="s">
        <v>29</v>
      </c>
      <c r="S66" s="31" t="s">
        <v>33</v>
      </c>
      <c r="T66" s="29">
        <f t="shared" si="20"/>
        <v>2</v>
      </c>
      <c r="U66" s="30">
        <f t="shared" si="21"/>
        <v>0.6666666667</v>
      </c>
      <c r="V66" s="32" t="s">
        <v>29</v>
      </c>
      <c r="W66" s="32" t="s">
        <v>33</v>
      </c>
      <c r="X66" s="32" t="s">
        <v>33</v>
      </c>
      <c r="Y66" s="24">
        <v>46132.0</v>
      </c>
      <c r="Z66" s="5"/>
      <c r="AA66" s="5"/>
      <c r="AB66" s="5"/>
    </row>
    <row r="67" ht="15.75" customHeight="1">
      <c r="A67" s="21">
        <v>92.0</v>
      </c>
      <c r="B67" s="21" t="s">
        <v>49</v>
      </c>
      <c r="C67" s="21" t="s">
        <v>36</v>
      </c>
      <c r="D67" s="21" t="s">
        <v>37</v>
      </c>
      <c r="E67" s="17" t="s">
        <v>30</v>
      </c>
      <c r="F67" s="17" t="s">
        <v>30</v>
      </c>
      <c r="G67" s="17" t="s">
        <v>30</v>
      </c>
      <c r="H67" s="29">
        <f t="shared" si="17"/>
        <v>0</v>
      </c>
      <c r="I67" s="30">
        <f t="shared" si="18"/>
        <v>0</v>
      </c>
      <c r="J67" s="20" t="str">
        <f t="shared" si="11"/>
        <v>XXX</v>
      </c>
      <c r="K67" s="22" t="s">
        <v>29</v>
      </c>
      <c r="L67" s="22" t="s">
        <v>29</v>
      </c>
      <c r="M67" s="22" t="s">
        <v>33</v>
      </c>
      <c r="N67" s="18">
        <f t="shared" si="12"/>
        <v>1</v>
      </c>
      <c r="O67" s="30">
        <f t="shared" si="19"/>
        <v>0.3333333333</v>
      </c>
      <c r="P67" s="20">
        <f t="shared" si="14"/>
        <v>0.3333333333</v>
      </c>
      <c r="Q67" s="31" t="s">
        <v>28</v>
      </c>
      <c r="R67" s="31" t="s">
        <v>29</v>
      </c>
      <c r="S67" s="31" t="s">
        <v>33</v>
      </c>
      <c r="T67" s="29">
        <f t="shared" si="20"/>
        <v>2</v>
      </c>
      <c r="U67" s="30">
        <f t="shared" si="21"/>
        <v>0.6666666667</v>
      </c>
      <c r="V67" s="32" t="s">
        <v>28</v>
      </c>
      <c r="W67" s="32" t="s">
        <v>29</v>
      </c>
      <c r="X67" s="32" t="s">
        <v>28</v>
      </c>
      <c r="Y67" s="24">
        <v>46132.0</v>
      </c>
      <c r="Z67" s="5"/>
      <c r="AA67" s="5"/>
      <c r="AB67" s="5"/>
    </row>
    <row r="68" ht="15.75" customHeight="1">
      <c r="A68" s="21">
        <v>93.0</v>
      </c>
      <c r="B68" s="21" t="s">
        <v>49</v>
      </c>
      <c r="C68" s="21" t="s">
        <v>36</v>
      </c>
      <c r="D68" s="21" t="s">
        <v>37</v>
      </c>
      <c r="E68" s="17" t="s">
        <v>30</v>
      </c>
      <c r="F68" s="17" t="s">
        <v>30</v>
      </c>
      <c r="G68" s="17" t="s">
        <v>30</v>
      </c>
      <c r="H68" s="29">
        <f t="shared" si="17"/>
        <v>0</v>
      </c>
      <c r="I68" s="30">
        <f t="shared" si="18"/>
        <v>0</v>
      </c>
      <c r="J68" s="20" t="str">
        <f t="shared" si="11"/>
        <v>XXX</v>
      </c>
      <c r="K68" s="16" t="s">
        <v>29</v>
      </c>
      <c r="L68" s="16" t="s">
        <v>29</v>
      </c>
      <c r="M68" s="16" t="s">
        <v>33</v>
      </c>
      <c r="N68" s="18">
        <f t="shared" si="12"/>
        <v>1</v>
      </c>
      <c r="O68" s="30">
        <f t="shared" si="19"/>
        <v>0.3333333333</v>
      </c>
      <c r="P68" s="20">
        <f t="shared" si="14"/>
        <v>0.3333333333</v>
      </c>
      <c r="Q68" s="31" t="s">
        <v>29</v>
      </c>
      <c r="R68" s="31" t="s">
        <v>33</v>
      </c>
      <c r="S68" s="31" t="s">
        <v>33</v>
      </c>
      <c r="T68" s="29">
        <f t="shared" si="20"/>
        <v>2</v>
      </c>
      <c r="U68" s="30">
        <f t="shared" si="21"/>
        <v>0.6666666667</v>
      </c>
      <c r="V68" s="32" t="s">
        <v>29</v>
      </c>
      <c r="W68" s="32" t="s">
        <v>33</v>
      </c>
      <c r="X68" s="32" t="s">
        <v>28</v>
      </c>
      <c r="Y68" s="24">
        <v>46132.0</v>
      </c>
      <c r="Z68" s="5"/>
      <c r="AA68" s="5"/>
      <c r="AB68" s="5"/>
    </row>
    <row r="69" ht="15.75" customHeight="1">
      <c r="A69" s="21">
        <v>101.0</v>
      </c>
      <c r="B69" s="21" t="s">
        <v>49</v>
      </c>
      <c r="C69" s="21" t="s">
        <v>36</v>
      </c>
      <c r="D69" s="21" t="s">
        <v>38</v>
      </c>
      <c r="E69" s="17" t="s">
        <v>30</v>
      </c>
      <c r="F69" s="17" t="s">
        <v>30</v>
      </c>
      <c r="G69" s="17" t="s">
        <v>30</v>
      </c>
      <c r="H69" s="29">
        <f t="shared" si="17"/>
        <v>0</v>
      </c>
      <c r="I69" s="30">
        <f t="shared" si="18"/>
        <v>0</v>
      </c>
      <c r="J69" s="20" t="str">
        <f t="shared" si="11"/>
        <v>XXX</v>
      </c>
      <c r="K69" s="22" t="s">
        <v>33</v>
      </c>
      <c r="L69" s="22" t="s">
        <v>29</v>
      </c>
      <c r="M69" s="22" t="s">
        <v>33</v>
      </c>
      <c r="N69" s="18">
        <f t="shared" si="12"/>
        <v>2</v>
      </c>
      <c r="O69" s="30">
        <f t="shared" si="19"/>
        <v>0.6666666667</v>
      </c>
      <c r="P69" s="20">
        <f t="shared" si="14"/>
        <v>0.6666666667</v>
      </c>
      <c r="Q69" s="31" t="s">
        <v>31</v>
      </c>
      <c r="R69" s="31" t="s">
        <v>29</v>
      </c>
      <c r="S69" s="31" t="s">
        <v>31</v>
      </c>
      <c r="T69" s="29">
        <f t="shared" si="20"/>
        <v>2</v>
      </c>
      <c r="U69" s="30">
        <f t="shared" si="21"/>
        <v>0.6666666667</v>
      </c>
      <c r="V69" s="32" t="s">
        <v>31</v>
      </c>
      <c r="W69" s="32" t="s">
        <v>29</v>
      </c>
      <c r="X69" s="32" t="s">
        <v>33</v>
      </c>
      <c r="Y69" s="24">
        <v>46132.0</v>
      </c>
      <c r="Z69" s="5"/>
      <c r="AA69" s="5"/>
      <c r="AB69" s="5"/>
    </row>
    <row r="70" ht="15.75" customHeight="1">
      <c r="A70" s="21">
        <v>103.0</v>
      </c>
      <c r="B70" s="21" t="s">
        <v>49</v>
      </c>
      <c r="C70" s="21" t="s">
        <v>36</v>
      </c>
      <c r="D70" s="21" t="s">
        <v>38</v>
      </c>
      <c r="E70" s="17" t="s">
        <v>30</v>
      </c>
      <c r="F70" s="17" t="s">
        <v>30</v>
      </c>
      <c r="G70" s="17" t="s">
        <v>30</v>
      </c>
      <c r="H70" s="29">
        <f t="shared" si="17"/>
        <v>0</v>
      </c>
      <c r="I70" s="30">
        <f t="shared" si="18"/>
        <v>0</v>
      </c>
      <c r="J70" s="20" t="str">
        <f t="shared" si="11"/>
        <v>XXX</v>
      </c>
      <c r="K70" s="16" t="s">
        <v>33</v>
      </c>
      <c r="L70" s="16" t="s">
        <v>29</v>
      </c>
      <c r="M70" s="16" t="s">
        <v>29</v>
      </c>
      <c r="N70" s="18">
        <f t="shared" si="12"/>
        <v>0</v>
      </c>
      <c r="O70" s="30">
        <f t="shared" si="19"/>
        <v>0</v>
      </c>
      <c r="P70" s="20">
        <f t="shared" si="14"/>
        <v>0</v>
      </c>
      <c r="Q70" s="31" t="s">
        <v>29</v>
      </c>
      <c r="R70" s="31" t="s">
        <v>28</v>
      </c>
      <c r="S70" s="31" t="s">
        <v>31</v>
      </c>
      <c r="T70" s="29">
        <f t="shared" si="20"/>
        <v>2</v>
      </c>
      <c r="U70" s="30">
        <f t="shared" si="21"/>
        <v>0.6666666667</v>
      </c>
      <c r="V70" s="32" t="s">
        <v>31</v>
      </c>
      <c r="W70" s="32" t="s">
        <v>28</v>
      </c>
      <c r="X70" s="32" t="s">
        <v>31</v>
      </c>
      <c r="Y70" s="24">
        <v>46132.0</v>
      </c>
      <c r="Z70" s="5"/>
      <c r="AA70" s="5"/>
      <c r="AB70" s="5"/>
    </row>
    <row r="71" ht="15.75" customHeight="1">
      <c r="A71" s="21">
        <v>104.0</v>
      </c>
      <c r="B71" s="21" t="s">
        <v>49</v>
      </c>
      <c r="C71" s="21" t="s">
        <v>36</v>
      </c>
      <c r="D71" s="21" t="s">
        <v>38</v>
      </c>
      <c r="E71" s="17" t="s">
        <v>30</v>
      </c>
      <c r="F71" s="17" t="s">
        <v>30</v>
      </c>
      <c r="G71" s="17" t="s">
        <v>30</v>
      </c>
      <c r="H71" s="29">
        <f t="shared" si="17"/>
        <v>0</v>
      </c>
      <c r="I71" s="30">
        <f t="shared" si="18"/>
        <v>0</v>
      </c>
      <c r="J71" s="20" t="str">
        <f t="shared" si="11"/>
        <v>XXX</v>
      </c>
      <c r="K71" s="22" t="s">
        <v>33</v>
      </c>
      <c r="L71" s="22" t="s">
        <v>29</v>
      </c>
      <c r="M71" s="22" t="s">
        <v>29</v>
      </c>
      <c r="N71" s="18">
        <f t="shared" si="12"/>
        <v>0</v>
      </c>
      <c r="O71" s="30">
        <f t="shared" si="19"/>
        <v>0</v>
      </c>
      <c r="P71" s="20">
        <f t="shared" si="14"/>
        <v>0</v>
      </c>
      <c r="Q71" s="31" t="s">
        <v>31</v>
      </c>
      <c r="R71" s="31" t="s">
        <v>29</v>
      </c>
      <c r="S71" s="31" t="s">
        <v>33</v>
      </c>
      <c r="T71" s="29">
        <f t="shared" si="20"/>
        <v>1</v>
      </c>
      <c r="U71" s="30">
        <f t="shared" si="21"/>
        <v>0.3333333333</v>
      </c>
      <c r="V71" s="32" t="s">
        <v>31</v>
      </c>
      <c r="W71" s="32" t="s">
        <v>28</v>
      </c>
      <c r="X71" s="32" t="s">
        <v>28</v>
      </c>
      <c r="Y71" s="24">
        <v>46132.0</v>
      </c>
      <c r="Z71" s="5"/>
      <c r="AA71" s="5"/>
      <c r="AB71" s="5"/>
    </row>
    <row r="72" ht="15.75" customHeight="1">
      <c r="A72" s="21">
        <v>111.0</v>
      </c>
      <c r="B72" s="21" t="s">
        <v>49</v>
      </c>
      <c r="C72" s="21" t="s">
        <v>36</v>
      </c>
      <c r="D72" s="21" t="s">
        <v>47</v>
      </c>
      <c r="E72" s="16" t="s">
        <v>29</v>
      </c>
      <c r="F72" s="17" t="s">
        <v>30</v>
      </c>
      <c r="G72" s="17" t="s">
        <v>30</v>
      </c>
      <c r="H72" s="29">
        <f t="shared" si="17"/>
        <v>0</v>
      </c>
      <c r="I72" s="30">
        <f t="shared" si="18"/>
        <v>0</v>
      </c>
      <c r="J72" s="20">
        <f t="shared" si="11"/>
        <v>0</v>
      </c>
      <c r="K72" s="16" t="s">
        <v>29</v>
      </c>
      <c r="L72" s="16" t="s">
        <v>29</v>
      </c>
      <c r="M72" s="16" t="s">
        <v>29</v>
      </c>
      <c r="N72" s="18">
        <f t="shared" si="12"/>
        <v>1</v>
      </c>
      <c r="O72" s="30">
        <f t="shared" si="19"/>
        <v>0.3333333333</v>
      </c>
      <c r="P72" s="20">
        <f t="shared" si="14"/>
        <v>0.3333333333</v>
      </c>
      <c r="Q72" s="31" t="s">
        <v>29</v>
      </c>
      <c r="R72" s="31" t="s">
        <v>29</v>
      </c>
      <c r="S72" s="31" t="s">
        <v>28</v>
      </c>
      <c r="T72" s="29">
        <f t="shared" si="20"/>
        <v>2</v>
      </c>
      <c r="U72" s="30">
        <f t="shared" si="21"/>
        <v>0.6666666667</v>
      </c>
      <c r="V72" s="32" t="s">
        <v>33</v>
      </c>
      <c r="W72" s="32" t="s">
        <v>29</v>
      </c>
      <c r="X72" s="32" t="s">
        <v>28</v>
      </c>
      <c r="Y72" s="24">
        <v>46132.0</v>
      </c>
      <c r="Z72" s="5"/>
      <c r="AA72" s="5"/>
      <c r="AB72" s="5"/>
    </row>
    <row r="73" ht="15.75" customHeight="1">
      <c r="A73" s="21">
        <v>112.0</v>
      </c>
      <c r="B73" s="21" t="s">
        <v>49</v>
      </c>
      <c r="C73" s="21" t="s">
        <v>36</v>
      </c>
      <c r="D73" s="21" t="s">
        <v>47</v>
      </c>
      <c r="E73" s="22" t="s">
        <v>29</v>
      </c>
      <c r="F73" s="17" t="s">
        <v>30</v>
      </c>
      <c r="G73" s="17" t="s">
        <v>30</v>
      </c>
      <c r="H73" s="29">
        <f t="shared" si="17"/>
        <v>0</v>
      </c>
      <c r="I73" s="30">
        <f t="shared" si="18"/>
        <v>0</v>
      </c>
      <c r="J73" s="20">
        <f t="shared" si="11"/>
        <v>0</v>
      </c>
      <c r="K73" s="22" t="s">
        <v>29</v>
      </c>
      <c r="L73" s="22" t="s">
        <v>28</v>
      </c>
      <c r="M73" s="22" t="s">
        <v>29</v>
      </c>
      <c r="N73" s="18">
        <f t="shared" si="12"/>
        <v>2</v>
      </c>
      <c r="O73" s="30">
        <f t="shared" si="19"/>
        <v>0.6666666667</v>
      </c>
      <c r="P73" s="20">
        <f t="shared" si="14"/>
        <v>0.6666666667</v>
      </c>
      <c r="Q73" s="31" t="s">
        <v>33</v>
      </c>
      <c r="R73" s="31" t="s">
        <v>28</v>
      </c>
      <c r="S73" s="31" t="s">
        <v>29</v>
      </c>
      <c r="T73" s="29">
        <f t="shared" si="20"/>
        <v>3</v>
      </c>
      <c r="U73" s="30">
        <f t="shared" si="21"/>
        <v>1</v>
      </c>
      <c r="V73" s="32" t="s">
        <v>33</v>
      </c>
      <c r="W73" s="32" t="s">
        <v>28</v>
      </c>
      <c r="X73" s="32" t="s">
        <v>29</v>
      </c>
      <c r="Y73" s="24">
        <v>46132.0</v>
      </c>
      <c r="Z73" s="5"/>
      <c r="AA73" s="5"/>
      <c r="AB73" s="5"/>
    </row>
    <row r="74" ht="15.75" customHeight="1">
      <c r="A74" s="21">
        <v>113.0</v>
      </c>
      <c r="B74" s="21" t="s">
        <v>49</v>
      </c>
      <c r="C74" s="21" t="s">
        <v>36</v>
      </c>
      <c r="D74" s="21" t="s">
        <v>47</v>
      </c>
      <c r="E74" s="17" t="s">
        <v>30</v>
      </c>
      <c r="F74" s="17" t="s">
        <v>30</v>
      </c>
      <c r="G74" s="17" t="s">
        <v>30</v>
      </c>
      <c r="H74" s="29">
        <f t="shared" si="17"/>
        <v>0</v>
      </c>
      <c r="I74" s="30">
        <f t="shared" si="18"/>
        <v>0</v>
      </c>
      <c r="J74" s="20" t="str">
        <f t="shared" si="11"/>
        <v>XXX</v>
      </c>
      <c r="K74" s="16" t="s">
        <v>31</v>
      </c>
      <c r="L74" s="17" t="s">
        <v>30</v>
      </c>
      <c r="M74" s="16" t="s">
        <v>29</v>
      </c>
      <c r="N74" s="18">
        <f t="shared" si="12"/>
        <v>1</v>
      </c>
      <c r="O74" s="30">
        <f t="shared" si="19"/>
        <v>0.3333333333</v>
      </c>
      <c r="P74" s="20">
        <f t="shared" si="14"/>
        <v>0.5</v>
      </c>
      <c r="Q74" s="31" t="s">
        <v>31</v>
      </c>
      <c r="R74" s="31" t="s">
        <v>29</v>
      </c>
      <c r="S74" s="31" t="s">
        <v>33</v>
      </c>
      <c r="T74" s="29">
        <f t="shared" si="20"/>
        <v>2</v>
      </c>
      <c r="U74" s="30">
        <f t="shared" si="21"/>
        <v>0.6666666667</v>
      </c>
      <c r="V74" s="32" t="s">
        <v>31</v>
      </c>
      <c r="W74" s="32" t="s">
        <v>33</v>
      </c>
      <c r="X74" s="32" t="s">
        <v>33</v>
      </c>
      <c r="Y74" s="24">
        <v>46132.0</v>
      </c>
      <c r="Z74" s="5"/>
      <c r="AA74" s="5"/>
      <c r="AB74" s="5"/>
    </row>
    <row r="75" ht="15.75" customHeight="1">
      <c r="A75" s="21">
        <v>121.0</v>
      </c>
      <c r="B75" s="21" t="s">
        <v>49</v>
      </c>
      <c r="C75" s="21" t="s">
        <v>36</v>
      </c>
      <c r="D75" s="21" t="s">
        <v>51</v>
      </c>
      <c r="E75" s="22" t="s">
        <v>28</v>
      </c>
      <c r="F75" s="17" t="s">
        <v>30</v>
      </c>
      <c r="G75" s="17" t="s">
        <v>30</v>
      </c>
      <c r="H75" s="29">
        <f t="shared" si="17"/>
        <v>0</v>
      </c>
      <c r="I75" s="30">
        <f t="shared" si="18"/>
        <v>0</v>
      </c>
      <c r="J75" s="20">
        <f t="shared" si="11"/>
        <v>0</v>
      </c>
      <c r="K75" s="22" t="s">
        <v>33</v>
      </c>
      <c r="L75" s="22" t="s">
        <v>29</v>
      </c>
      <c r="M75" s="22" t="s">
        <v>29</v>
      </c>
      <c r="N75" s="18">
        <f t="shared" si="12"/>
        <v>3</v>
      </c>
      <c r="O75" s="30">
        <f t="shared" si="19"/>
        <v>1</v>
      </c>
      <c r="P75" s="20">
        <f t="shared" si="14"/>
        <v>1</v>
      </c>
      <c r="Q75" s="31" t="s">
        <v>33</v>
      </c>
      <c r="R75" s="31" t="s">
        <v>29</v>
      </c>
      <c r="S75" s="31" t="s">
        <v>29</v>
      </c>
      <c r="T75" s="29">
        <f t="shared" si="20"/>
        <v>3</v>
      </c>
      <c r="U75" s="30">
        <f t="shared" si="21"/>
        <v>1</v>
      </c>
      <c r="V75" s="32" t="s">
        <v>33</v>
      </c>
      <c r="W75" s="32" t="s">
        <v>29</v>
      </c>
      <c r="X75" s="32" t="s">
        <v>29</v>
      </c>
      <c r="Y75" s="24">
        <v>46132.0</v>
      </c>
      <c r="Z75" s="5"/>
      <c r="AA75" s="5"/>
      <c r="AB75" s="5"/>
    </row>
    <row r="76" ht="15.75" customHeight="1">
      <c r="A76" s="21">
        <v>122.0</v>
      </c>
      <c r="B76" s="21" t="s">
        <v>49</v>
      </c>
      <c r="C76" s="21" t="s">
        <v>36</v>
      </c>
      <c r="D76" s="21" t="s">
        <v>51</v>
      </c>
      <c r="E76" s="17" t="s">
        <v>30</v>
      </c>
      <c r="F76" s="17" t="s">
        <v>30</v>
      </c>
      <c r="G76" s="17" t="s">
        <v>30</v>
      </c>
      <c r="H76" s="29">
        <f t="shared" si="17"/>
        <v>0</v>
      </c>
      <c r="I76" s="30">
        <f t="shared" si="18"/>
        <v>0</v>
      </c>
      <c r="J76" s="20" t="str">
        <f t="shared" si="11"/>
        <v>XXX</v>
      </c>
      <c r="K76" s="16" t="s">
        <v>33</v>
      </c>
      <c r="L76" s="16" t="s">
        <v>28</v>
      </c>
      <c r="M76" s="17" t="s">
        <v>30</v>
      </c>
      <c r="N76" s="18">
        <f t="shared" si="12"/>
        <v>1</v>
      </c>
      <c r="O76" s="30">
        <f t="shared" si="19"/>
        <v>0.3333333333</v>
      </c>
      <c r="P76" s="20">
        <f t="shared" si="14"/>
        <v>0.5</v>
      </c>
      <c r="Q76" s="31" t="s">
        <v>33</v>
      </c>
      <c r="R76" s="31" t="s">
        <v>29</v>
      </c>
      <c r="S76" s="31" t="s">
        <v>33</v>
      </c>
      <c r="T76" s="29">
        <f t="shared" si="20"/>
        <v>2</v>
      </c>
      <c r="U76" s="30">
        <f t="shared" si="21"/>
        <v>0.6666666667</v>
      </c>
      <c r="V76" s="32" t="s">
        <v>33</v>
      </c>
      <c r="W76" s="32" t="s">
        <v>29</v>
      </c>
      <c r="X76" s="32" t="s">
        <v>28</v>
      </c>
      <c r="Y76" s="24">
        <v>46132.0</v>
      </c>
      <c r="Z76" s="5"/>
      <c r="AA76" s="5"/>
      <c r="AB76" s="5"/>
    </row>
    <row r="77" ht="15.75" customHeight="1">
      <c r="A77" s="21">
        <v>123.0</v>
      </c>
      <c r="B77" s="21" t="s">
        <v>49</v>
      </c>
      <c r="C77" s="21" t="s">
        <v>36</v>
      </c>
      <c r="D77" s="21" t="s">
        <v>51</v>
      </c>
      <c r="E77" s="17" t="s">
        <v>30</v>
      </c>
      <c r="F77" s="17" t="s">
        <v>30</v>
      </c>
      <c r="G77" s="17" t="s">
        <v>30</v>
      </c>
      <c r="H77" s="29">
        <f t="shared" si="17"/>
        <v>0</v>
      </c>
      <c r="I77" s="30">
        <f t="shared" si="18"/>
        <v>0</v>
      </c>
      <c r="J77" s="20" t="str">
        <f t="shared" si="11"/>
        <v>XXX</v>
      </c>
      <c r="K77" s="22" t="s">
        <v>29</v>
      </c>
      <c r="L77" s="22" t="s">
        <v>28</v>
      </c>
      <c r="M77" s="22" t="s">
        <v>33</v>
      </c>
      <c r="N77" s="18">
        <f t="shared" si="12"/>
        <v>1</v>
      </c>
      <c r="O77" s="30">
        <f t="shared" si="19"/>
        <v>0.3333333333</v>
      </c>
      <c r="P77" s="20">
        <f t="shared" si="14"/>
        <v>0.3333333333</v>
      </c>
      <c r="Q77" s="31" t="s">
        <v>28</v>
      </c>
      <c r="R77" s="31" t="s">
        <v>28</v>
      </c>
      <c r="S77" s="31" t="s">
        <v>33</v>
      </c>
      <c r="T77" s="29">
        <f t="shared" si="20"/>
        <v>2</v>
      </c>
      <c r="U77" s="30">
        <f t="shared" si="21"/>
        <v>0.6666666667</v>
      </c>
      <c r="V77" s="32" t="s">
        <v>28</v>
      </c>
      <c r="W77" s="32" t="s">
        <v>28</v>
      </c>
      <c r="X77" s="32" t="s">
        <v>28</v>
      </c>
      <c r="Y77" s="24">
        <v>46132.0</v>
      </c>
      <c r="Z77" s="5"/>
      <c r="AA77" s="5"/>
      <c r="AB77" s="5"/>
    </row>
    <row r="78" ht="15.75" customHeight="1">
      <c r="A78" s="21">
        <v>221.0</v>
      </c>
      <c r="B78" s="21" t="s">
        <v>49</v>
      </c>
      <c r="C78" s="21" t="s">
        <v>41</v>
      </c>
      <c r="D78" s="21" t="s">
        <v>42</v>
      </c>
      <c r="E78" s="17" t="s">
        <v>30</v>
      </c>
      <c r="F78" s="17" t="s">
        <v>30</v>
      </c>
      <c r="G78" s="17" t="s">
        <v>30</v>
      </c>
      <c r="H78" s="29">
        <f t="shared" si="17"/>
        <v>0</v>
      </c>
      <c r="I78" s="30">
        <f t="shared" si="18"/>
        <v>0</v>
      </c>
      <c r="J78" s="20" t="str">
        <f t="shared" si="11"/>
        <v>XXX</v>
      </c>
      <c r="K78" s="16" t="s">
        <v>29</v>
      </c>
      <c r="L78" s="17" t="s">
        <v>30</v>
      </c>
      <c r="M78" s="16" t="s">
        <v>29</v>
      </c>
      <c r="N78" s="18">
        <f t="shared" si="12"/>
        <v>0</v>
      </c>
      <c r="O78" s="30">
        <f t="shared" si="19"/>
        <v>0</v>
      </c>
      <c r="P78" s="20">
        <f t="shared" si="14"/>
        <v>0</v>
      </c>
      <c r="Q78" s="31" t="s">
        <v>29</v>
      </c>
      <c r="R78" s="31" t="s">
        <v>29</v>
      </c>
      <c r="S78" s="31" t="s">
        <v>31</v>
      </c>
      <c r="T78" s="29">
        <f t="shared" si="20"/>
        <v>1</v>
      </c>
      <c r="U78" s="30">
        <f t="shared" si="21"/>
        <v>0.3333333333</v>
      </c>
      <c r="V78" s="32" t="s">
        <v>33</v>
      </c>
      <c r="W78" s="32" t="s">
        <v>28</v>
      </c>
      <c r="X78" s="32" t="s">
        <v>31</v>
      </c>
      <c r="Y78" s="24">
        <v>46132.0</v>
      </c>
      <c r="Z78" s="5"/>
      <c r="AA78" s="5"/>
      <c r="AB78" s="5"/>
    </row>
    <row r="79" ht="15.75" customHeight="1">
      <c r="A79" s="21">
        <v>222.0</v>
      </c>
      <c r="B79" s="21" t="s">
        <v>49</v>
      </c>
      <c r="C79" s="21" t="s">
        <v>41</v>
      </c>
      <c r="D79" s="21" t="s">
        <v>42</v>
      </c>
      <c r="E79" s="17" t="s">
        <v>30</v>
      </c>
      <c r="F79" s="22" t="s">
        <v>29</v>
      </c>
      <c r="G79" s="17" t="s">
        <v>30</v>
      </c>
      <c r="H79" s="29">
        <f t="shared" si="17"/>
        <v>1</v>
      </c>
      <c r="I79" s="30">
        <f t="shared" si="18"/>
        <v>0.3333333333</v>
      </c>
      <c r="J79" s="20">
        <f t="shared" si="11"/>
        <v>1</v>
      </c>
      <c r="K79" s="17" t="s">
        <v>30</v>
      </c>
      <c r="L79" s="22" t="s">
        <v>29</v>
      </c>
      <c r="M79" s="22" t="s">
        <v>29</v>
      </c>
      <c r="N79" s="18">
        <f t="shared" si="12"/>
        <v>1</v>
      </c>
      <c r="O79" s="30">
        <f t="shared" si="19"/>
        <v>0.3333333333</v>
      </c>
      <c r="P79" s="20">
        <f t="shared" si="14"/>
        <v>0.5</v>
      </c>
      <c r="Q79" s="31" t="s">
        <v>29</v>
      </c>
      <c r="R79" s="31" t="s">
        <v>29</v>
      </c>
      <c r="S79" s="31" t="s">
        <v>33</v>
      </c>
      <c r="T79" s="29">
        <f t="shared" si="20"/>
        <v>2</v>
      </c>
      <c r="U79" s="30">
        <f t="shared" si="21"/>
        <v>0.6666666667</v>
      </c>
      <c r="V79" s="32" t="s">
        <v>31</v>
      </c>
      <c r="W79" s="32" t="s">
        <v>29</v>
      </c>
      <c r="X79" s="32" t="s">
        <v>33</v>
      </c>
      <c r="Y79" s="24">
        <v>46132.0</v>
      </c>
      <c r="Z79" s="5"/>
      <c r="AA79" s="5"/>
      <c r="AB79" s="5"/>
    </row>
    <row r="80" ht="15.75" customHeight="1">
      <c r="A80" s="21">
        <v>223.0</v>
      </c>
      <c r="B80" s="21" t="s">
        <v>49</v>
      </c>
      <c r="C80" s="21" t="s">
        <v>41</v>
      </c>
      <c r="D80" s="21" t="s">
        <v>42</v>
      </c>
      <c r="E80" s="16" t="s">
        <v>29</v>
      </c>
      <c r="F80" s="17" t="s">
        <v>30</v>
      </c>
      <c r="G80" s="16" t="s">
        <v>28</v>
      </c>
      <c r="H80" s="29">
        <f t="shared" si="17"/>
        <v>2</v>
      </c>
      <c r="I80" s="30">
        <f t="shared" si="18"/>
        <v>0.6666666667</v>
      </c>
      <c r="J80" s="20">
        <f t="shared" si="11"/>
        <v>1</v>
      </c>
      <c r="K80" s="16" t="s">
        <v>29</v>
      </c>
      <c r="L80" s="16" t="s">
        <v>33</v>
      </c>
      <c r="M80" s="16" t="s">
        <v>28</v>
      </c>
      <c r="N80" s="18">
        <f t="shared" si="12"/>
        <v>3</v>
      </c>
      <c r="O80" s="30">
        <f t="shared" si="19"/>
        <v>1</v>
      </c>
      <c r="P80" s="20">
        <f t="shared" si="14"/>
        <v>1</v>
      </c>
      <c r="Q80" s="31" t="s">
        <v>29</v>
      </c>
      <c r="R80" s="31" t="s">
        <v>33</v>
      </c>
      <c r="S80" s="31" t="s">
        <v>28</v>
      </c>
      <c r="T80" s="29">
        <f t="shared" si="20"/>
        <v>3</v>
      </c>
      <c r="U80" s="30">
        <f t="shared" si="21"/>
        <v>1</v>
      </c>
      <c r="V80" s="32" t="s">
        <v>29</v>
      </c>
      <c r="W80" s="32" t="s">
        <v>33</v>
      </c>
      <c r="X80" s="32" t="s">
        <v>28</v>
      </c>
      <c r="Y80" s="24">
        <v>46132.0</v>
      </c>
      <c r="Z80" s="5"/>
      <c r="AA80" s="5"/>
      <c r="AB80" s="5"/>
    </row>
    <row r="81" ht="15.75" customHeight="1">
      <c r="A81" s="21">
        <v>231.0</v>
      </c>
      <c r="B81" s="21" t="s">
        <v>49</v>
      </c>
      <c r="C81" s="21" t="s">
        <v>41</v>
      </c>
      <c r="D81" s="21" t="s">
        <v>43</v>
      </c>
      <c r="E81" s="17" t="s">
        <v>30</v>
      </c>
      <c r="F81" s="22" t="s">
        <v>28</v>
      </c>
      <c r="G81" s="17" t="s">
        <v>30</v>
      </c>
      <c r="H81" s="29">
        <f t="shared" si="17"/>
        <v>1</v>
      </c>
      <c r="I81" s="30">
        <f t="shared" si="18"/>
        <v>0.3333333333</v>
      </c>
      <c r="J81" s="20">
        <f t="shared" si="11"/>
        <v>1</v>
      </c>
      <c r="K81" s="22" t="s">
        <v>28</v>
      </c>
      <c r="L81" s="22" t="s">
        <v>28</v>
      </c>
      <c r="M81" s="22" t="s">
        <v>29</v>
      </c>
      <c r="N81" s="18">
        <f t="shared" si="12"/>
        <v>2</v>
      </c>
      <c r="O81" s="30">
        <f t="shared" si="19"/>
        <v>0.6666666667</v>
      </c>
      <c r="P81" s="20">
        <f t="shared" si="14"/>
        <v>0.6666666667</v>
      </c>
      <c r="Q81" s="31" t="s">
        <v>33</v>
      </c>
      <c r="R81" s="31" t="s">
        <v>28</v>
      </c>
      <c r="S81" s="31" t="s">
        <v>29</v>
      </c>
      <c r="T81" s="29">
        <f t="shared" si="20"/>
        <v>2</v>
      </c>
      <c r="U81" s="30">
        <f t="shared" si="21"/>
        <v>0.6666666667</v>
      </c>
      <c r="V81" s="32" t="s">
        <v>31</v>
      </c>
      <c r="W81" s="32" t="s">
        <v>28</v>
      </c>
      <c r="X81" s="32" t="s">
        <v>29</v>
      </c>
      <c r="Y81" s="24">
        <v>46132.0</v>
      </c>
      <c r="Z81" s="5"/>
      <c r="AA81" s="5"/>
      <c r="AB81" s="5"/>
    </row>
    <row r="82" ht="15.75" customHeight="1">
      <c r="A82" s="21">
        <v>232.0</v>
      </c>
      <c r="B82" s="21" t="s">
        <v>49</v>
      </c>
      <c r="C82" s="21" t="s">
        <v>41</v>
      </c>
      <c r="D82" s="21" t="s">
        <v>43</v>
      </c>
      <c r="E82" s="17" t="s">
        <v>30</v>
      </c>
      <c r="F82" s="17" t="s">
        <v>30</v>
      </c>
      <c r="G82" s="17" t="s">
        <v>30</v>
      </c>
      <c r="H82" s="29">
        <f t="shared" si="17"/>
        <v>0</v>
      </c>
      <c r="I82" s="30">
        <f t="shared" si="18"/>
        <v>0</v>
      </c>
      <c r="J82" s="20" t="str">
        <f t="shared" si="11"/>
        <v>XXX</v>
      </c>
      <c r="K82" s="16" t="s">
        <v>28</v>
      </c>
      <c r="L82" s="16" t="s">
        <v>28</v>
      </c>
      <c r="M82" s="16" t="s">
        <v>33</v>
      </c>
      <c r="N82" s="18">
        <f t="shared" si="12"/>
        <v>0</v>
      </c>
      <c r="O82" s="30">
        <f t="shared" si="19"/>
        <v>0</v>
      </c>
      <c r="P82" s="20">
        <f t="shared" si="14"/>
        <v>0</v>
      </c>
      <c r="Q82" s="31" t="s">
        <v>33</v>
      </c>
      <c r="R82" s="31" t="s">
        <v>31</v>
      </c>
      <c r="S82" s="31" t="s">
        <v>28</v>
      </c>
      <c r="T82" s="29">
        <f t="shared" si="20"/>
        <v>2</v>
      </c>
      <c r="U82" s="30">
        <f t="shared" si="21"/>
        <v>0.6666666667</v>
      </c>
      <c r="V82" s="32" t="s">
        <v>33</v>
      </c>
      <c r="W82" s="32" t="s">
        <v>33</v>
      </c>
      <c r="X82" s="32" t="s">
        <v>28</v>
      </c>
      <c r="Y82" s="24">
        <v>46132.0</v>
      </c>
      <c r="Z82" s="5"/>
      <c r="AA82" s="5"/>
      <c r="AB82" s="5"/>
    </row>
    <row r="83" ht="15.75" customHeight="1">
      <c r="A83" s="21">
        <v>233.0</v>
      </c>
      <c r="B83" s="21" t="s">
        <v>49</v>
      </c>
      <c r="C83" s="21" t="s">
        <v>41</v>
      </c>
      <c r="D83" s="21" t="s">
        <v>43</v>
      </c>
      <c r="E83" s="17" t="s">
        <v>30</v>
      </c>
      <c r="F83" s="17" t="s">
        <v>30</v>
      </c>
      <c r="G83" s="17" t="s">
        <v>30</v>
      </c>
      <c r="H83" s="29">
        <f t="shared" si="17"/>
        <v>0</v>
      </c>
      <c r="I83" s="30">
        <f t="shared" si="18"/>
        <v>0</v>
      </c>
      <c r="J83" s="20" t="str">
        <f t="shared" si="11"/>
        <v>XXX</v>
      </c>
      <c r="K83" s="22" t="s">
        <v>29</v>
      </c>
      <c r="L83" s="22" t="s">
        <v>33</v>
      </c>
      <c r="M83" s="22" t="s">
        <v>31</v>
      </c>
      <c r="N83" s="18">
        <f t="shared" si="12"/>
        <v>2</v>
      </c>
      <c r="O83" s="30">
        <f t="shared" si="19"/>
        <v>0.6666666667</v>
      </c>
      <c r="P83" s="20">
        <f t="shared" si="14"/>
        <v>0.6666666667</v>
      </c>
      <c r="Q83" s="31" t="s">
        <v>29</v>
      </c>
      <c r="R83" s="31" t="s">
        <v>31</v>
      </c>
      <c r="S83" s="31" t="s">
        <v>31</v>
      </c>
      <c r="T83" s="29">
        <f t="shared" si="20"/>
        <v>3</v>
      </c>
      <c r="U83" s="30">
        <f t="shared" si="21"/>
        <v>1</v>
      </c>
      <c r="V83" s="32" t="s">
        <v>29</v>
      </c>
      <c r="W83" s="32" t="s">
        <v>31</v>
      </c>
      <c r="X83" s="32" t="s">
        <v>31</v>
      </c>
      <c r="Y83" s="24">
        <v>46132.0</v>
      </c>
      <c r="Z83" s="5"/>
      <c r="AA83" s="5"/>
      <c r="AB83" s="5"/>
    </row>
    <row r="84" ht="15.75" customHeight="1">
      <c r="A84" s="21">
        <v>251.0</v>
      </c>
      <c r="B84" s="21" t="s">
        <v>49</v>
      </c>
      <c r="C84" s="21" t="s">
        <v>41</v>
      </c>
      <c r="D84" s="21" t="s">
        <v>44</v>
      </c>
      <c r="E84" s="16" t="s">
        <v>29</v>
      </c>
      <c r="F84" s="17" t="s">
        <v>30</v>
      </c>
      <c r="G84" s="17" t="s">
        <v>30</v>
      </c>
      <c r="H84" s="29">
        <f t="shared" si="17"/>
        <v>0</v>
      </c>
      <c r="I84" s="30">
        <f t="shared" si="18"/>
        <v>0</v>
      </c>
      <c r="J84" s="20">
        <f t="shared" si="11"/>
        <v>0</v>
      </c>
      <c r="K84" s="16" t="s">
        <v>28</v>
      </c>
      <c r="L84" s="16" t="s">
        <v>29</v>
      </c>
      <c r="M84" s="16" t="s">
        <v>29</v>
      </c>
      <c r="N84" s="18">
        <f t="shared" si="12"/>
        <v>0</v>
      </c>
      <c r="O84" s="30">
        <f t="shared" si="19"/>
        <v>0</v>
      </c>
      <c r="P84" s="20">
        <f t="shared" si="14"/>
        <v>0</v>
      </c>
      <c r="Q84" s="31" t="s">
        <v>28</v>
      </c>
      <c r="R84" s="31" t="s">
        <v>29</v>
      </c>
      <c r="S84" s="31" t="s">
        <v>33</v>
      </c>
      <c r="T84" s="29">
        <f t="shared" si="20"/>
        <v>0</v>
      </c>
      <c r="U84" s="30">
        <f t="shared" si="21"/>
        <v>0</v>
      </c>
      <c r="V84" s="32" t="s">
        <v>33</v>
      </c>
      <c r="W84" s="32" t="s">
        <v>28</v>
      </c>
      <c r="X84" s="32" t="s">
        <v>31</v>
      </c>
      <c r="Y84" s="24">
        <v>46132.0</v>
      </c>
      <c r="Z84" s="5"/>
      <c r="AA84" s="5"/>
      <c r="AB84" s="5"/>
    </row>
    <row r="85" ht="15.75" customHeight="1">
      <c r="A85" s="21">
        <v>252.0</v>
      </c>
      <c r="B85" s="21" t="s">
        <v>49</v>
      </c>
      <c r="C85" s="21" t="s">
        <v>41</v>
      </c>
      <c r="D85" s="21" t="s">
        <v>44</v>
      </c>
      <c r="E85" s="22" t="s">
        <v>29</v>
      </c>
      <c r="F85" s="17" t="s">
        <v>30</v>
      </c>
      <c r="G85" s="17" t="s">
        <v>30</v>
      </c>
      <c r="H85" s="29">
        <f t="shared" si="17"/>
        <v>1</v>
      </c>
      <c r="I85" s="30">
        <f t="shared" si="18"/>
        <v>0.3333333333</v>
      </c>
      <c r="J85" s="20">
        <f t="shared" si="11"/>
        <v>1</v>
      </c>
      <c r="K85" s="22" t="s">
        <v>29</v>
      </c>
      <c r="L85" s="22" t="s">
        <v>28</v>
      </c>
      <c r="M85" s="22" t="s">
        <v>28</v>
      </c>
      <c r="N85" s="18">
        <f t="shared" si="12"/>
        <v>2</v>
      </c>
      <c r="O85" s="30">
        <f t="shared" si="19"/>
        <v>0.6666666667</v>
      </c>
      <c r="P85" s="20">
        <f t="shared" si="14"/>
        <v>0.6666666667</v>
      </c>
      <c r="Q85" s="31" t="s">
        <v>29</v>
      </c>
      <c r="R85" s="31" t="s">
        <v>33</v>
      </c>
      <c r="S85" s="31" t="s">
        <v>29</v>
      </c>
      <c r="T85" s="29">
        <f t="shared" si="20"/>
        <v>2</v>
      </c>
      <c r="U85" s="30">
        <f t="shared" si="21"/>
        <v>0.6666666667</v>
      </c>
      <c r="V85" s="32" t="s">
        <v>29</v>
      </c>
      <c r="W85" s="32" t="s">
        <v>33</v>
      </c>
      <c r="X85" s="32" t="s">
        <v>28</v>
      </c>
      <c r="Y85" s="24">
        <v>46132.0</v>
      </c>
      <c r="Z85" s="5"/>
      <c r="AA85" s="5"/>
      <c r="AB85" s="5"/>
    </row>
    <row r="86" ht="15.75" customHeight="1">
      <c r="A86" s="21">
        <v>253.0</v>
      </c>
      <c r="B86" s="21" t="s">
        <v>49</v>
      </c>
      <c r="C86" s="21" t="s">
        <v>41</v>
      </c>
      <c r="D86" s="21" t="s">
        <v>44</v>
      </c>
      <c r="E86" s="17" t="s">
        <v>30</v>
      </c>
      <c r="F86" s="17" t="s">
        <v>30</v>
      </c>
      <c r="G86" s="17" t="s">
        <v>30</v>
      </c>
      <c r="H86" s="29">
        <f t="shared" si="17"/>
        <v>0</v>
      </c>
      <c r="I86" s="30">
        <f t="shared" si="18"/>
        <v>0</v>
      </c>
      <c r="J86" s="20" t="str">
        <f t="shared" si="11"/>
        <v>XXX</v>
      </c>
      <c r="K86" s="16" t="s">
        <v>31</v>
      </c>
      <c r="L86" s="16" t="s">
        <v>31</v>
      </c>
      <c r="M86" s="16" t="s">
        <v>29</v>
      </c>
      <c r="N86" s="18">
        <f t="shared" si="12"/>
        <v>1</v>
      </c>
      <c r="O86" s="30">
        <f t="shared" si="19"/>
        <v>0.3333333333</v>
      </c>
      <c r="P86" s="20">
        <f t="shared" si="14"/>
        <v>0.3333333333</v>
      </c>
      <c r="Q86" s="31" t="s">
        <v>31</v>
      </c>
      <c r="R86" s="31" t="s">
        <v>33</v>
      </c>
      <c r="S86" s="31" t="s">
        <v>33</v>
      </c>
      <c r="T86" s="29">
        <f t="shared" si="20"/>
        <v>2</v>
      </c>
      <c r="U86" s="30">
        <f t="shared" si="21"/>
        <v>0.6666666667</v>
      </c>
      <c r="V86" s="32" t="s">
        <v>31</v>
      </c>
      <c r="W86" s="32" t="s">
        <v>28</v>
      </c>
      <c r="X86" s="32" t="s">
        <v>33</v>
      </c>
      <c r="Y86" s="24">
        <v>46132.0</v>
      </c>
      <c r="Z86" s="5"/>
      <c r="AA86" s="5"/>
      <c r="AB86" s="5"/>
    </row>
    <row r="87" ht="15.75" customHeight="1">
      <c r="A87" s="21">
        <v>261.0</v>
      </c>
      <c r="B87" s="21" t="s">
        <v>49</v>
      </c>
      <c r="C87" s="21" t="s">
        <v>41</v>
      </c>
      <c r="D87" s="21" t="s">
        <v>45</v>
      </c>
      <c r="E87" s="17" t="s">
        <v>30</v>
      </c>
      <c r="F87" s="17" t="s">
        <v>30</v>
      </c>
      <c r="G87" s="22" t="s">
        <v>31</v>
      </c>
      <c r="H87" s="29">
        <f t="shared" si="17"/>
        <v>1</v>
      </c>
      <c r="I87" s="30">
        <f t="shared" si="18"/>
        <v>0.3333333333</v>
      </c>
      <c r="J87" s="20">
        <f t="shared" si="11"/>
        <v>1</v>
      </c>
      <c r="K87" s="22" t="s">
        <v>33</v>
      </c>
      <c r="L87" s="22" t="s">
        <v>28</v>
      </c>
      <c r="M87" s="22" t="s">
        <v>31</v>
      </c>
      <c r="N87" s="18">
        <f t="shared" si="12"/>
        <v>3</v>
      </c>
      <c r="O87" s="30">
        <f t="shared" si="19"/>
        <v>1</v>
      </c>
      <c r="P87" s="20">
        <f t="shared" si="14"/>
        <v>1</v>
      </c>
      <c r="Q87" s="31" t="s">
        <v>33</v>
      </c>
      <c r="R87" s="31" t="s">
        <v>28</v>
      </c>
      <c r="S87" s="31" t="s">
        <v>31</v>
      </c>
      <c r="T87" s="29">
        <f t="shared" si="20"/>
        <v>3</v>
      </c>
      <c r="U87" s="30">
        <f t="shared" si="21"/>
        <v>1</v>
      </c>
      <c r="V87" s="32" t="s">
        <v>33</v>
      </c>
      <c r="W87" s="32" t="s">
        <v>28</v>
      </c>
      <c r="X87" s="32" t="s">
        <v>31</v>
      </c>
      <c r="Y87" s="24">
        <v>46132.0</v>
      </c>
      <c r="Z87" s="5"/>
      <c r="AA87" s="5"/>
      <c r="AB87" s="5"/>
    </row>
    <row r="88" ht="15.75" customHeight="1">
      <c r="A88" s="21">
        <v>262.0</v>
      </c>
      <c r="B88" s="21" t="s">
        <v>49</v>
      </c>
      <c r="C88" s="21" t="s">
        <v>41</v>
      </c>
      <c r="D88" s="21" t="s">
        <v>45</v>
      </c>
      <c r="E88" s="16" t="s">
        <v>29</v>
      </c>
      <c r="F88" s="17" t="s">
        <v>30</v>
      </c>
      <c r="G88" s="17" t="s">
        <v>30</v>
      </c>
      <c r="H88" s="29">
        <f t="shared" si="17"/>
        <v>1</v>
      </c>
      <c r="I88" s="30">
        <f t="shared" si="18"/>
        <v>0.3333333333</v>
      </c>
      <c r="J88" s="20">
        <f t="shared" si="11"/>
        <v>1</v>
      </c>
      <c r="K88" s="16" t="s">
        <v>29</v>
      </c>
      <c r="L88" s="16" t="s">
        <v>33</v>
      </c>
      <c r="M88" s="16" t="s">
        <v>29</v>
      </c>
      <c r="N88" s="18">
        <f t="shared" si="12"/>
        <v>1</v>
      </c>
      <c r="O88" s="30">
        <f t="shared" si="19"/>
        <v>0.3333333333</v>
      </c>
      <c r="P88" s="20">
        <f t="shared" si="14"/>
        <v>0.3333333333</v>
      </c>
      <c r="Q88" s="31" t="s">
        <v>29</v>
      </c>
      <c r="R88" s="31" t="s">
        <v>31</v>
      </c>
      <c r="S88" s="31" t="s">
        <v>33</v>
      </c>
      <c r="T88" s="29">
        <f t="shared" si="20"/>
        <v>3</v>
      </c>
      <c r="U88" s="30">
        <f t="shared" si="21"/>
        <v>1</v>
      </c>
      <c r="V88" s="32" t="s">
        <v>29</v>
      </c>
      <c r="W88" s="32" t="s">
        <v>31</v>
      </c>
      <c r="X88" s="32" t="s">
        <v>33</v>
      </c>
      <c r="Y88" s="24">
        <v>46132.0</v>
      </c>
      <c r="Z88" s="5"/>
      <c r="AA88" s="5"/>
      <c r="AB88" s="5"/>
    </row>
    <row r="89" ht="15.75" customHeight="1">
      <c r="A89" s="21">
        <v>263.0</v>
      </c>
      <c r="B89" s="21" t="s">
        <v>49</v>
      </c>
      <c r="C89" s="21" t="s">
        <v>41</v>
      </c>
      <c r="D89" s="21" t="s">
        <v>45</v>
      </c>
      <c r="E89" s="22" t="s">
        <v>28</v>
      </c>
      <c r="F89" s="17" t="s">
        <v>30</v>
      </c>
      <c r="G89" s="22" t="s">
        <v>33</v>
      </c>
      <c r="H89" s="29">
        <f t="shared" si="17"/>
        <v>1</v>
      </c>
      <c r="I89" s="30">
        <f t="shared" si="18"/>
        <v>0.3333333333</v>
      </c>
      <c r="J89" s="20">
        <f t="shared" si="11"/>
        <v>0.5</v>
      </c>
      <c r="K89" s="22" t="s">
        <v>28</v>
      </c>
      <c r="L89" s="22" t="s">
        <v>28</v>
      </c>
      <c r="M89" s="22" t="s">
        <v>33</v>
      </c>
      <c r="N89" s="18">
        <f t="shared" si="12"/>
        <v>1</v>
      </c>
      <c r="O89" s="30">
        <f t="shared" si="19"/>
        <v>0.3333333333</v>
      </c>
      <c r="P89" s="20">
        <f t="shared" si="14"/>
        <v>0.3333333333</v>
      </c>
      <c r="Q89" s="31" t="s">
        <v>28</v>
      </c>
      <c r="R89" s="31" t="s">
        <v>33</v>
      </c>
      <c r="S89" s="31" t="s">
        <v>33</v>
      </c>
      <c r="T89" s="29">
        <f t="shared" si="20"/>
        <v>2</v>
      </c>
      <c r="U89" s="30">
        <f t="shared" si="21"/>
        <v>0.6666666667</v>
      </c>
      <c r="V89" s="32" t="s">
        <v>28</v>
      </c>
      <c r="W89" s="32" t="s">
        <v>33</v>
      </c>
      <c r="X89" s="32" t="s">
        <v>29</v>
      </c>
      <c r="Y89" s="24">
        <v>46132.0</v>
      </c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2.0"/>
    <col customWidth="1" min="4" max="4" width="18.0"/>
    <col customWidth="1" min="5" max="24" width="10.0"/>
    <col customWidth="1" min="25" max="25" width="20.0"/>
    <col customWidth="1" min="26" max="26" width="12.0"/>
    <col customWidth="1" min="27" max="28" width="8.71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4</v>
      </c>
      <c r="L1" s="1" t="s">
        <v>5</v>
      </c>
      <c r="M1" s="1" t="s">
        <v>6</v>
      </c>
      <c r="N1" s="1" t="s">
        <v>7</v>
      </c>
      <c r="O1" s="3" t="s">
        <v>8</v>
      </c>
      <c r="P1" s="4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3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5"/>
      <c r="AB1" s="5"/>
    </row>
    <row r="2" ht="19.5" customHeight="1">
      <c r="A2" s="6" t="s">
        <v>20</v>
      </c>
      <c r="B2" s="6"/>
      <c r="C2" s="7"/>
      <c r="D2" s="7"/>
      <c r="E2" s="6"/>
      <c r="F2" s="6"/>
      <c r="G2" s="6"/>
      <c r="H2" s="8"/>
      <c r="I2" s="9">
        <f t="shared" ref="I2:J2" si="1">AVERAGE(I6:I17)</f>
        <v>0.3055555556</v>
      </c>
      <c r="J2" s="9">
        <f t="shared" si="1"/>
        <v>0.6296296296</v>
      </c>
      <c r="K2" s="6"/>
      <c r="L2" s="6"/>
      <c r="M2" s="6"/>
      <c r="N2" s="8"/>
      <c r="O2" s="9">
        <f t="shared" ref="O2:P2" si="2">AVERAGE(O6:O17)</f>
        <v>0.4722222222</v>
      </c>
      <c r="P2" s="9">
        <f t="shared" si="2"/>
        <v>0.5277777778</v>
      </c>
      <c r="Q2" s="10"/>
      <c r="R2" s="6"/>
      <c r="S2" s="6"/>
      <c r="T2" s="8"/>
      <c r="U2" s="9">
        <f>AVERAGE(U6:U17)</f>
        <v>0.5555555556</v>
      </c>
      <c r="V2" s="11"/>
      <c r="W2" s="12"/>
      <c r="X2" s="12"/>
      <c r="Y2" s="13"/>
      <c r="Z2" s="7"/>
      <c r="AA2" s="5"/>
      <c r="AB2" s="5"/>
    </row>
    <row r="3" ht="19.5" customHeight="1">
      <c r="A3" s="6" t="s">
        <v>21</v>
      </c>
      <c r="B3" s="6"/>
      <c r="C3" s="7"/>
      <c r="D3" s="7"/>
      <c r="E3" s="6"/>
      <c r="F3" s="6"/>
      <c r="G3" s="6"/>
      <c r="H3" s="8"/>
      <c r="I3" s="9">
        <f t="shared" ref="I3:J3" si="3">AVERAGE(I18:I53)</f>
        <v>0.25</v>
      </c>
      <c r="J3" s="9">
        <f t="shared" si="3"/>
        <v>0.7708333333</v>
      </c>
      <c r="K3" s="6"/>
      <c r="L3" s="6"/>
      <c r="M3" s="6"/>
      <c r="N3" s="8"/>
      <c r="O3" s="9">
        <f t="shared" ref="O3:P3" si="4">AVERAGE(O18:O53)</f>
        <v>0.5462962963</v>
      </c>
      <c r="P3" s="9">
        <f t="shared" si="4"/>
        <v>0.5601851852</v>
      </c>
      <c r="Q3" s="10"/>
      <c r="R3" s="6"/>
      <c r="S3" s="6"/>
      <c r="T3" s="8"/>
      <c r="U3" s="9">
        <f>AVERAGE(U18:U53)</f>
        <v>0.5740740741</v>
      </c>
      <c r="V3" s="11"/>
      <c r="W3" s="12"/>
      <c r="X3" s="12"/>
      <c r="Y3" s="13"/>
      <c r="Z3" s="7"/>
      <c r="AA3" s="5"/>
      <c r="AB3" s="5"/>
    </row>
    <row r="4" ht="19.5" customHeight="1">
      <c r="A4" s="6" t="s">
        <v>22</v>
      </c>
      <c r="B4" s="6"/>
      <c r="C4" s="7"/>
      <c r="D4" s="7"/>
      <c r="E4" s="6" t="s">
        <v>20</v>
      </c>
      <c r="F4" s="6" t="s">
        <v>21</v>
      </c>
      <c r="G4" s="6" t="s">
        <v>22</v>
      </c>
      <c r="H4" s="8"/>
      <c r="I4" s="9">
        <f t="shared" ref="I4:J4" si="5">AVERAGE(I54:I89)</f>
        <v>0.1388888889</v>
      </c>
      <c r="J4" s="9">
        <f t="shared" si="5"/>
        <v>0.6111111111</v>
      </c>
      <c r="K4" s="6" t="s">
        <v>20</v>
      </c>
      <c r="L4" s="6" t="s">
        <v>21</v>
      </c>
      <c r="M4" s="6" t="s">
        <v>22</v>
      </c>
      <c r="N4" s="8"/>
      <c r="O4" s="9">
        <f t="shared" ref="O4:P4" si="6">AVERAGE(O54:O89)</f>
        <v>0.4814814815</v>
      </c>
      <c r="P4" s="9">
        <f t="shared" si="6"/>
        <v>0.4907407407</v>
      </c>
      <c r="Q4" s="6" t="s">
        <v>20</v>
      </c>
      <c r="R4" s="6" t="s">
        <v>21</v>
      </c>
      <c r="S4" s="6" t="s">
        <v>22</v>
      </c>
      <c r="T4" s="8"/>
      <c r="U4" s="9">
        <f>AVERAGE(U54:U89)</f>
        <v>0.6759259259</v>
      </c>
      <c r="V4" s="11"/>
      <c r="W4" s="12"/>
      <c r="X4" s="12"/>
      <c r="Y4" s="13"/>
      <c r="Z4" s="7"/>
      <c r="AA4" s="5"/>
      <c r="AB4" s="5"/>
    </row>
    <row r="5" ht="19.5" customHeight="1">
      <c r="A5" s="6" t="s">
        <v>23</v>
      </c>
      <c r="B5" s="6"/>
      <c r="C5" s="7"/>
      <c r="D5" s="14" t="s">
        <v>24</v>
      </c>
      <c r="E5" s="6">
        <f>COUNTIF(E6:G17, "X")</f>
        <v>20</v>
      </c>
      <c r="F5" s="6">
        <f>COUNTIF(F18:G53, "X")</f>
        <v>49</v>
      </c>
      <c r="G5" s="6">
        <f>COUNTIF(F54:G89, "X")</f>
        <v>60</v>
      </c>
      <c r="H5" s="15"/>
      <c r="I5" s="9">
        <f t="shared" ref="I5:J5" si="7">AVERAGE(I6:I89)</f>
        <v>0.2103174603</v>
      </c>
      <c r="J5" s="9">
        <f t="shared" si="7"/>
        <v>0.6895424837</v>
      </c>
      <c r="K5" s="6">
        <f>COUNTIF(K6:M17, "X")</f>
        <v>4</v>
      </c>
      <c r="L5" s="6">
        <f>COUNTIF(L18:M53, "X")</f>
        <v>1</v>
      </c>
      <c r="M5" s="6">
        <f>COUNTIF(L54:M89, "X")</f>
        <v>1</v>
      </c>
      <c r="N5" s="15"/>
      <c r="O5" s="9">
        <f t="shared" ref="O5:P5" si="8">AVERAGE(O6:O89)</f>
        <v>0.5079365079</v>
      </c>
      <c r="P5" s="9">
        <f t="shared" si="8"/>
        <v>0.5257936508</v>
      </c>
      <c r="Q5" s="6">
        <f>COUNTIF(Q6:S17, "X")</f>
        <v>1</v>
      </c>
      <c r="R5" s="6">
        <f>COUNTIF(R18:S53, "X")</f>
        <v>1</v>
      </c>
      <c r="S5" s="6">
        <f>COUNTIF(R54:S89, "X")</f>
        <v>0</v>
      </c>
      <c r="T5" s="8"/>
      <c r="U5" s="9">
        <f>AVERAGE(U6:U89)</f>
        <v>0.6150793651</v>
      </c>
      <c r="V5" s="11"/>
      <c r="W5" s="12"/>
      <c r="X5" s="12"/>
      <c r="Y5" s="13"/>
      <c r="Z5" s="7"/>
      <c r="AA5" s="5"/>
      <c r="AB5" s="5"/>
    </row>
    <row r="6" ht="19.5" customHeight="1">
      <c r="A6" s="6">
        <v>601.0</v>
      </c>
      <c r="B6" s="6" t="s">
        <v>25</v>
      </c>
      <c r="C6" s="7" t="s">
        <v>26</v>
      </c>
      <c r="D6" s="7" t="s">
        <v>27</v>
      </c>
      <c r="E6" s="16" t="s">
        <v>28</v>
      </c>
      <c r="F6" s="16" t="s">
        <v>29</v>
      </c>
      <c r="G6" s="16" t="s">
        <v>31</v>
      </c>
      <c r="H6" s="18">
        <f t="shared" ref="H6:H7" si="9">IF(E6="","",IF(E6=V6,1,0))+IF(F6="","",IF(F6=W6,1,0))+IF(G6="","",IF(G6=X6,1,0))</f>
        <v>2</v>
      </c>
      <c r="I6" s="19">
        <f t="shared" ref="I6:I7" si="10">IF(H6="","",H6/3)</f>
        <v>0.6666666667</v>
      </c>
      <c r="J6" s="20">
        <f t="shared" ref="J6:J89" si="11">IFERROR((IF(E6=V6,1,0) + IF(F6=W6,1,0) + IF(G6=X6,1,0)) / COUNTIFS(E6:G6, "&lt;&gt;X", E6:G6, "&lt;&gt;"), "XXX")</f>
        <v>0.6666666667</v>
      </c>
      <c r="K6" s="16" t="s">
        <v>28</v>
      </c>
      <c r="L6" s="16" t="s">
        <v>29</v>
      </c>
      <c r="M6" s="16" t="s">
        <v>31</v>
      </c>
      <c r="N6" s="18">
        <f t="shared" ref="N6:N89" si="12">IF(K6="","",IF(K6=V6,1,0))+IF(L6="","",IF(L6=W6,1,0))+IF(M6="","",IF(M6=X6,1,0))</f>
        <v>2</v>
      </c>
      <c r="O6" s="19">
        <f t="shared" ref="O6:O7" si="13">IF(N6="","",N6/3)</f>
        <v>0.6666666667</v>
      </c>
      <c r="P6" s="20">
        <f t="shared" ref="P6:P89" si="14">IFERROR((IF(K6=V6,1,0) + IF(L6=W6,1,0) + IF(M6=X6,1,0)) / COUNTIFS(K6:M6, "&lt;&gt;X", K6:M6, "&lt;&gt;"), "XXX")</f>
        <v>0.6666666667</v>
      </c>
      <c r="Q6" s="6" t="s">
        <v>28</v>
      </c>
      <c r="R6" s="6" t="s">
        <v>29</v>
      </c>
      <c r="S6" s="6" t="s">
        <v>31</v>
      </c>
      <c r="T6" s="18">
        <f t="shared" ref="T6:T7" si="15">IF(Q6="","",IF(Q6=V6,1,0))+IF(R6="","",IF(R6=W6,1,0))+IF(S6="","",IF(S6=X6,1,0))</f>
        <v>2</v>
      </c>
      <c r="U6" s="23">
        <f t="shared" ref="U6:U7" si="16">IF(T6="","",T6/3)</f>
        <v>0.6666666667</v>
      </c>
      <c r="V6" s="12" t="s">
        <v>31</v>
      </c>
      <c r="W6" s="12" t="s">
        <v>29</v>
      </c>
      <c r="X6" s="12" t="s">
        <v>31</v>
      </c>
      <c r="Y6" s="13">
        <v>46130.0</v>
      </c>
      <c r="Z6" s="7" t="s">
        <v>52</v>
      </c>
      <c r="AA6" s="5"/>
      <c r="AB6" s="5"/>
    </row>
    <row r="7">
      <c r="A7" s="21">
        <v>622.0</v>
      </c>
      <c r="B7" s="6" t="s">
        <v>25</v>
      </c>
      <c r="C7" s="7" t="s">
        <v>26</v>
      </c>
      <c r="D7" s="21" t="s">
        <v>32</v>
      </c>
      <c r="E7" s="22" t="s">
        <v>31</v>
      </c>
      <c r="F7" s="22" t="s">
        <v>33</v>
      </c>
      <c r="G7" s="22" t="s">
        <v>29</v>
      </c>
      <c r="H7" s="18">
        <f t="shared" si="9"/>
        <v>3</v>
      </c>
      <c r="I7" s="23">
        <f t="shared" si="10"/>
        <v>1</v>
      </c>
      <c r="J7" s="20">
        <f t="shared" si="11"/>
        <v>1</v>
      </c>
      <c r="K7" s="22" t="s">
        <v>31</v>
      </c>
      <c r="L7" s="22" t="s">
        <v>33</v>
      </c>
      <c r="M7" s="22" t="s">
        <v>29</v>
      </c>
      <c r="N7" s="18">
        <f t="shared" si="12"/>
        <v>3</v>
      </c>
      <c r="O7" s="23">
        <f t="shared" si="13"/>
        <v>1</v>
      </c>
      <c r="P7" s="20">
        <f t="shared" si="14"/>
        <v>1</v>
      </c>
      <c r="Q7" s="6" t="s">
        <v>31</v>
      </c>
      <c r="R7" s="6" t="s">
        <v>33</v>
      </c>
      <c r="S7" s="6" t="s">
        <v>29</v>
      </c>
      <c r="T7" s="18">
        <f t="shared" si="15"/>
        <v>3</v>
      </c>
      <c r="U7" s="23">
        <f t="shared" si="16"/>
        <v>1</v>
      </c>
      <c r="V7" s="12" t="s">
        <v>31</v>
      </c>
      <c r="W7" s="12" t="s">
        <v>33</v>
      </c>
      <c r="X7" s="12" t="s">
        <v>29</v>
      </c>
      <c r="Y7" s="24">
        <v>46130.0</v>
      </c>
      <c r="Z7" s="5"/>
      <c r="AA7" s="5"/>
      <c r="AB7" s="5"/>
    </row>
    <row r="8">
      <c r="A8" s="21">
        <v>641.0</v>
      </c>
      <c r="B8" s="6" t="s">
        <v>25</v>
      </c>
      <c r="C8" s="7" t="s">
        <v>26</v>
      </c>
      <c r="D8" s="21" t="s">
        <v>34</v>
      </c>
      <c r="E8" s="16" t="s">
        <v>29</v>
      </c>
      <c r="F8" s="17" t="s">
        <v>30</v>
      </c>
      <c r="G8" s="17" t="s">
        <v>30</v>
      </c>
      <c r="H8" s="25">
        <f t="shared" ref="H8:H89" si="17">IF(E8="","",IF(E8=V8,1,0))+IF(F8="","",IF(F8=W8,1,0))+IF(G8="","",IF(G8=X8,1,0))</f>
        <v>0</v>
      </c>
      <c r="I8" s="26">
        <f t="shared" ref="I8:I89" si="18">IF(H8="","",H8/3)</f>
        <v>0</v>
      </c>
      <c r="J8" s="20">
        <f t="shared" si="11"/>
        <v>0</v>
      </c>
      <c r="K8" s="16" t="s">
        <v>29</v>
      </c>
      <c r="L8" s="17" t="s">
        <v>30</v>
      </c>
      <c r="M8" s="17" t="s">
        <v>30</v>
      </c>
      <c r="N8" s="18">
        <f t="shared" si="12"/>
        <v>0</v>
      </c>
      <c r="O8" s="26">
        <f t="shared" ref="O8:O89" si="19">IF(N8="","",N8/3)</f>
        <v>0</v>
      </c>
      <c r="P8" s="20">
        <f t="shared" si="14"/>
        <v>0</v>
      </c>
      <c r="Q8" s="27" t="s">
        <v>29</v>
      </c>
      <c r="R8" s="27" t="s">
        <v>31</v>
      </c>
      <c r="S8" s="27" t="s">
        <v>33</v>
      </c>
      <c r="T8" s="25">
        <f t="shared" ref="T8:T89" si="20">IF(Q8="","",IF(Q8=V8,1,0))+IF(R8="","",IF(R8=W8,1,0))+IF(S8="","",IF(S8=X8,1,0))</f>
        <v>2</v>
      </c>
      <c r="U8" s="26">
        <f t="shared" ref="U8:U89" si="21">IF(T8="","",T8/3)</f>
        <v>0.6666666667</v>
      </c>
      <c r="V8" s="28" t="s">
        <v>31</v>
      </c>
      <c r="W8" s="28" t="s">
        <v>31</v>
      </c>
      <c r="X8" s="28" t="s">
        <v>33</v>
      </c>
      <c r="Y8" s="5"/>
      <c r="Z8" s="5"/>
      <c r="AA8" s="5"/>
      <c r="AB8" s="5"/>
    </row>
    <row r="9">
      <c r="A9" s="21">
        <v>681.0</v>
      </c>
      <c r="B9" s="6" t="s">
        <v>25</v>
      </c>
      <c r="C9" s="7" t="s">
        <v>26</v>
      </c>
      <c r="D9" s="21" t="s">
        <v>35</v>
      </c>
      <c r="E9" s="22" t="s">
        <v>29</v>
      </c>
      <c r="F9" s="22" t="s">
        <v>28</v>
      </c>
      <c r="G9" s="17" t="s">
        <v>30</v>
      </c>
      <c r="H9" s="25">
        <f t="shared" si="17"/>
        <v>1</v>
      </c>
      <c r="I9" s="26">
        <f t="shared" si="18"/>
        <v>0.3333333333</v>
      </c>
      <c r="J9" s="20">
        <f t="shared" si="11"/>
        <v>0.5</v>
      </c>
      <c r="K9" s="22" t="s">
        <v>29</v>
      </c>
      <c r="L9" s="22" t="s">
        <v>28</v>
      </c>
      <c r="M9" s="22" t="s">
        <v>29</v>
      </c>
      <c r="N9" s="18">
        <f t="shared" si="12"/>
        <v>1</v>
      </c>
      <c r="O9" s="26">
        <f t="shared" si="19"/>
        <v>0.3333333333</v>
      </c>
      <c r="P9" s="20">
        <f t="shared" si="14"/>
        <v>0.3333333333</v>
      </c>
      <c r="Q9" s="27" t="s">
        <v>31</v>
      </c>
      <c r="R9" s="27" t="s">
        <v>28</v>
      </c>
      <c r="S9" s="27" t="s">
        <v>30</v>
      </c>
      <c r="T9" s="25">
        <f t="shared" si="20"/>
        <v>2</v>
      </c>
      <c r="U9" s="26">
        <f t="shared" si="21"/>
        <v>0.6666666667</v>
      </c>
      <c r="V9" s="28" t="s">
        <v>31</v>
      </c>
      <c r="W9" s="28" t="s">
        <v>28</v>
      </c>
      <c r="X9" s="28" t="s">
        <v>33</v>
      </c>
      <c r="Y9" s="5"/>
      <c r="Z9" s="5"/>
      <c r="AA9" s="5"/>
      <c r="AB9" s="5"/>
    </row>
    <row r="10">
      <c r="A10" s="21">
        <v>692.0</v>
      </c>
      <c r="B10" s="6" t="s">
        <v>25</v>
      </c>
      <c r="C10" s="21" t="s">
        <v>36</v>
      </c>
      <c r="D10" s="21" t="s">
        <v>37</v>
      </c>
      <c r="E10" s="17" t="s">
        <v>30</v>
      </c>
      <c r="F10" s="17" t="s">
        <v>30</v>
      </c>
      <c r="G10" s="17" t="s">
        <v>30</v>
      </c>
      <c r="H10" s="25">
        <f t="shared" si="17"/>
        <v>0</v>
      </c>
      <c r="I10" s="26">
        <f t="shared" si="18"/>
        <v>0</v>
      </c>
      <c r="J10" s="20" t="str">
        <f t="shared" si="11"/>
        <v>XXX</v>
      </c>
      <c r="K10" s="16" t="s">
        <v>29</v>
      </c>
      <c r="L10" s="16" t="s">
        <v>33</v>
      </c>
      <c r="M10" s="16" t="s">
        <v>31</v>
      </c>
      <c r="N10" s="18">
        <f t="shared" si="12"/>
        <v>1</v>
      </c>
      <c r="O10" s="26">
        <f t="shared" si="19"/>
        <v>0.3333333333</v>
      </c>
      <c r="P10" s="20">
        <f t="shared" si="14"/>
        <v>0.3333333333</v>
      </c>
      <c r="Q10" s="27" t="s">
        <v>31</v>
      </c>
      <c r="R10" s="27" t="s">
        <v>28</v>
      </c>
      <c r="S10" s="27" t="s">
        <v>31</v>
      </c>
      <c r="T10" s="25">
        <f t="shared" si="20"/>
        <v>0</v>
      </c>
      <c r="U10" s="26">
        <f t="shared" si="21"/>
        <v>0</v>
      </c>
      <c r="V10" s="28" t="s">
        <v>33</v>
      </c>
      <c r="W10" s="28" t="s">
        <v>33</v>
      </c>
      <c r="X10" s="28" t="s">
        <v>29</v>
      </c>
      <c r="Y10" s="5"/>
      <c r="Z10" s="5"/>
      <c r="AA10" s="5"/>
      <c r="AB10" s="5"/>
    </row>
    <row r="11">
      <c r="A11" s="21">
        <v>702.0</v>
      </c>
      <c r="B11" s="6" t="s">
        <v>25</v>
      </c>
      <c r="C11" s="21" t="s">
        <v>36</v>
      </c>
      <c r="D11" s="21" t="s">
        <v>38</v>
      </c>
      <c r="E11" s="17" t="s">
        <v>30</v>
      </c>
      <c r="F11" s="17" t="s">
        <v>30</v>
      </c>
      <c r="G11" s="17" t="s">
        <v>30</v>
      </c>
      <c r="H11" s="29">
        <f t="shared" si="17"/>
        <v>0</v>
      </c>
      <c r="I11" s="30">
        <f t="shared" si="18"/>
        <v>0</v>
      </c>
      <c r="J11" s="20" t="str">
        <f t="shared" si="11"/>
        <v>XXX</v>
      </c>
      <c r="K11" s="22" t="s">
        <v>29</v>
      </c>
      <c r="L11" s="22" t="s">
        <v>33</v>
      </c>
      <c r="M11" s="22" t="s">
        <v>29</v>
      </c>
      <c r="N11" s="18">
        <f t="shared" si="12"/>
        <v>2</v>
      </c>
      <c r="O11" s="30">
        <f t="shared" si="19"/>
        <v>0.6666666667</v>
      </c>
      <c r="P11" s="20">
        <f t="shared" si="14"/>
        <v>0.6666666667</v>
      </c>
      <c r="Q11" s="31" t="s">
        <v>29</v>
      </c>
      <c r="R11" s="31" t="s">
        <v>29</v>
      </c>
      <c r="S11" s="31" t="s">
        <v>31</v>
      </c>
      <c r="T11" s="29">
        <f t="shared" si="20"/>
        <v>1</v>
      </c>
      <c r="U11" s="30">
        <f t="shared" si="21"/>
        <v>0.3333333333</v>
      </c>
      <c r="V11" s="32" t="s">
        <v>29</v>
      </c>
      <c r="W11" s="32" t="s">
        <v>33</v>
      </c>
      <c r="X11" s="32" t="s">
        <v>28</v>
      </c>
      <c r="Y11" s="5"/>
      <c r="Z11" s="5"/>
      <c r="AA11" s="5"/>
      <c r="AB11" s="5"/>
    </row>
    <row r="12">
      <c r="A12" s="21">
        <v>711.0</v>
      </c>
      <c r="B12" s="6" t="s">
        <v>25</v>
      </c>
      <c r="C12" s="21" t="s">
        <v>36</v>
      </c>
      <c r="D12" s="21" t="s">
        <v>39</v>
      </c>
      <c r="E12" s="17" t="s">
        <v>30</v>
      </c>
      <c r="F12" s="17" t="s">
        <v>30</v>
      </c>
      <c r="G12" s="17" t="s">
        <v>30</v>
      </c>
      <c r="H12" s="29">
        <f t="shared" si="17"/>
        <v>0</v>
      </c>
      <c r="I12" s="30">
        <f t="shared" si="18"/>
        <v>0</v>
      </c>
      <c r="J12" s="20" t="str">
        <f t="shared" si="11"/>
        <v>XXX</v>
      </c>
      <c r="K12" s="16" t="s">
        <v>29</v>
      </c>
      <c r="L12" s="16" t="s">
        <v>33</v>
      </c>
      <c r="M12" s="16" t="s">
        <v>28</v>
      </c>
      <c r="N12" s="18">
        <f t="shared" si="12"/>
        <v>0</v>
      </c>
      <c r="O12" s="30">
        <f t="shared" si="19"/>
        <v>0</v>
      </c>
      <c r="P12" s="20">
        <f t="shared" si="14"/>
        <v>0</v>
      </c>
      <c r="Q12" s="31" t="s">
        <v>28</v>
      </c>
      <c r="R12" s="31" t="s">
        <v>33</v>
      </c>
      <c r="S12" s="31" t="s">
        <v>33</v>
      </c>
      <c r="T12" s="29">
        <f t="shared" si="20"/>
        <v>1</v>
      </c>
      <c r="U12" s="30">
        <f t="shared" si="21"/>
        <v>0.3333333333</v>
      </c>
      <c r="V12" s="32" t="s">
        <v>28</v>
      </c>
      <c r="W12" s="32" t="s">
        <v>28</v>
      </c>
      <c r="X12" s="32" t="s">
        <v>29</v>
      </c>
      <c r="Y12" s="5"/>
      <c r="Z12" s="5"/>
      <c r="AA12" s="5"/>
      <c r="AB12" s="5"/>
    </row>
    <row r="13">
      <c r="A13" s="21">
        <v>721.0</v>
      </c>
      <c r="B13" s="6" t="s">
        <v>25</v>
      </c>
      <c r="C13" s="21" t="s">
        <v>36</v>
      </c>
      <c r="D13" s="21" t="s">
        <v>40</v>
      </c>
      <c r="E13" s="22" t="s">
        <v>33</v>
      </c>
      <c r="F13" s="22" t="s">
        <v>29</v>
      </c>
      <c r="G13" s="17" t="s">
        <v>30</v>
      </c>
      <c r="H13" s="29">
        <f t="shared" si="17"/>
        <v>2</v>
      </c>
      <c r="I13" s="30">
        <f t="shared" si="18"/>
        <v>0.6666666667</v>
      </c>
      <c r="J13" s="20">
        <f t="shared" si="11"/>
        <v>1</v>
      </c>
      <c r="K13" s="22" t="s">
        <v>33</v>
      </c>
      <c r="L13" s="22" t="s">
        <v>29</v>
      </c>
      <c r="M13" s="17" t="s">
        <v>30</v>
      </c>
      <c r="N13" s="18">
        <f t="shared" si="12"/>
        <v>2</v>
      </c>
      <c r="O13" s="30">
        <f t="shared" si="19"/>
        <v>0.6666666667</v>
      </c>
      <c r="P13" s="20">
        <f t="shared" si="14"/>
        <v>1</v>
      </c>
      <c r="Q13" s="31" t="s">
        <v>33</v>
      </c>
      <c r="R13" s="31" t="s">
        <v>29</v>
      </c>
      <c r="S13" s="31" t="s">
        <v>31</v>
      </c>
      <c r="T13" s="29">
        <f t="shared" si="20"/>
        <v>3</v>
      </c>
      <c r="U13" s="30">
        <f t="shared" si="21"/>
        <v>1</v>
      </c>
      <c r="V13" s="32" t="s">
        <v>33</v>
      </c>
      <c r="W13" s="32" t="s">
        <v>29</v>
      </c>
      <c r="X13" s="32" t="s">
        <v>31</v>
      </c>
      <c r="Y13" s="5"/>
      <c r="Z13" s="5"/>
      <c r="AA13" s="5"/>
      <c r="AB13" s="5"/>
    </row>
    <row r="14">
      <c r="A14" s="21">
        <v>821.0</v>
      </c>
      <c r="B14" s="6" t="s">
        <v>25</v>
      </c>
      <c r="C14" s="21" t="s">
        <v>41</v>
      </c>
      <c r="D14" s="21" t="s">
        <v>42</v>
      </c>
      <c r="E14" s="17" t="s">
        <v>30</v>
      </c>
      <c r="F14" s="16" t="s">
        <v>29</v>
      </c>
      <c r="G14" s="16" t="s">
        <v>31</v>
      </c>
      <c r="H14" s="29">
        <f t="shared" si="17"/>
        <v>1</v>
      </c>
      <c r="I14" s="30">
        <f t="shared" si="18"/>
        <v>0.3333333333</v>
      </c>
      <c r="J14" s="20">
        <f t="shared" si="11"/>
        <v>0.5</v>
      </c>
      <c r="K14" s="16" t="s">
        <v>33</v>
      </c>
      <c r="L14" s="16" t="s">
        <v>28</v>
      </c>
      <c r="M14" s="16" t="s">
        <v>31</v>
      </c>
      <c r="N14" s="18">
        <f t="shared" si="12"/>
        <v>3</v>
      </c>
      <c r="O14" s="30">
        <f t="shared" si="19"/>
        <v>1</v>
      </c>
      <c r="P14" s="20">
        <f t="shared" si="14"/>
        <v>1</v>
      </c>
      <c r="Q14" s="31" t="s">
        <v>33</v>
      </c>
      <c r="R14" s="31" t="s">
        <v>28</v>
      </c>
      <c r="S14" s="31" t="s">
        <v>29</v>
      </c>
      <c r="T14" s="29">
        <f t="shared" si="20"/>
        <v>2</v>
      </c>
      <c r="U14" s="30">
        <f t="shared" si="21"/>
        <v>0.6666666667</v>
      </c>
      <c r="V14" s="32" t="s">
        <v>33</v>
      </c>
      <c r="W14" s="32" t="s">
        <v>28</v>
      </c>
      <c r="X14" s="32" t="s">
        <v>31</v>
      </c>
      <c r="Y14" s="5"/>
      <c r="Z14" s="5"/>
      <c r="AA14" s="5"/>
      <c r="AB14" s="5"/>
    </row>
    <row r="15">
      <c r="A15" s="21">
        <v>831.0</v>
      </c>
      <c r="B15" s="6" t="s">
        <v>25</v>
      </c>
      <c r="C15" s="21" t="s">
        <v>41</v>
      </c>
      <c r="D15" s="21" t="s">
        <v>43</v>
      </c>
      <c r="E15" s="22" t="s">
        <v>31</v>
      </c>
      <c r="F15" s="17" t="s">
        <v>30</v>
      </c>
      <c r="G15" s="17" t="s">
        <v>30</v>
      </c>
      <c r="H15" s="29">
        <f t="shared" si="17"/>
        <v>0</v>
      </c>
      <c r="I15" s="30">
        <f t="shared" si="18"/>
        <v>0</v>
      </c>
      <c r="J15" s="20">
        <f t="shared" si="11"/>
        <v>0</v>
      </c>
      <c r="K15" s="22" t="s">
        <v>31</v>
      </c>
      <c r="L15" s="22" t="s">
        <v>29</v>
      </c>
      <c r="M15" s="22" t="s">
        <v>29</v>
      </c>
      <c r="N15" s="18">
        <f t="shared" si="12"/>
        <v>0</v>
      </c>
      <c r="O15" s="30">
        <f t="shared" si="19"/>
        <v>0</v>
      </c>
      <c r="P15" s="20">
        <f t="shared" si="14"/>
        <v>0</v>
      </c>
      <c r="Q15" s="31" t="s">
        <v>28</v>
      </c>
      <c r="R15" s="31" t="s">
        <v>29</v>
      </c>
      <c r="S15" s="31" t="s">
        <v>29</v>
      </c>
      <c r="T15" s="29">
        <f t="shared" si="20"/>
        <v>1</v>
      </c>
      <c r="U15" s="30">
        <f t="shared" si="21"/>
        <v>0.3333333333</v>
      </c>
      <c r="V15" s="32" t="s">
        <v>28</v>
      </c>
      <c r="W15" s="32" t="s">
        <v>33</v>
      </c>
      <c r="X15" s="32" t="s">
        <v>31</v>
      </c>
      <c r="Y15" s="13">
        <v>46131.0</v>
      </c>
      <c r="Z15" s="5"/>
      <c r="AA15" s="5"/>
      <c r="AB15" s="5"/>
    </row>
    <row r="16">
      <c r="A16" s="21">
        <v>854.0</v>
      </c>
      <c r="B16" s="6" t="s">
        <v>25</v>
      </c>
      <c r="C16" s="21" t="s">
        <v>41</v>
      </c>
      <c r="D16" s="21" t="s">
        <v>44</v>
      </c>
      <c r="E16" s="16" t="s">
        <v>28</v>
      </c>
      <c r="F16" s="17" t="s">
        <v>30</v>
      </c>
      <c r="G16" s="17" t="s">
        <v>30</v>
      </c>
      <c r="H16" s="29">
        <f t="shared" si="17"/>
        <v>1</v>
      </c>
      <c r="I16" s="30">
        <f t="shared" si="18"/>
        <v>0.3333333333</v>
      </c>
      <c r="J16" s="20">
        <f t="shared" si="11"/>
        <v>1</v>
      </c>
      <c r="K16" s="16" t="s">
        <v>28</v>
      </c>
      <c r="L16" s="16" t="s">
        <v>28</v>
      </c>
      <c r="M16" s="16" t="s">
        <v>33</v>
      </c>
      <c r="N16" s="18">
        <f t="shared" si="12"/>
        <v>1</v>
      </c>
      <c r="O16" s="30">
        <f t="shared" si="19"/>
        <v>0.3333333333</v>
      </c>
      <c r="P16" s="20">
        <f t="shared" si="14"/>
        <v>0.3333333333</v>
      </c>
      <c r="Q16" s="31" t="s">
        <v>28</v>
      </c>
      <c r="R16" s="31" t="s">
        <v>31</v>
      </c>
      <c r="S16" s="31" t="s">
        <v>29</v>
      </c>
      <c r="T16" s="29">
        <f t="shared" si="20"/>
        <v>3</v>
      </c>
      <c r="U16" s="30">
        <f t="shared" si="21"/>
        <v>1</v>
      </c>
      <c r="V16" s="32" t="s">
        <v>28</v>
      </c>
      <c r="W16" s="32" t="s">
        <v>31</v>
      </c>
      <c r="X16" s="32" t="s">
        <v>29</v>
      </c>
      <c r="Y16" s="24">
        <v>46131.0</v>
      </c>
      <c r="Z16" s="5"/>
      <c r="AA16" s="5"/>
      <c r="AB16" s="5"/>
    </row>
    <row r="17">
      <c r="A17" s="21">
        <v>861.0</v>
      </c>
      <c r="B17" s="6" t="s">
        <v>25</v>
      </c>
      <c r="C17" s="21" t="s">
        <v>41</v>
      </c>
      <c r="D17" s="21" t="s">
        <v>45</v>
      </c>
      <c r="E17" s="17" t="s">
        <v>30</v>
      </c>
      <c r="F17" s="17" t="s">
        <v>30</v>
      </c>
      <c r="G17" s="22" t="s">
        <v>28</v>
      </c>
      <c r="H17" s="29">
        <f t="shared" si="17"/>
        <v>1</v>
      </c>
      <c r="I17" s="30">
        <f t="shared" si="18"/>
        <v>0.3333333333</v>
      </c>
      <c r="J17" s="20">
        <f t="shared" si="11"/>
        <v>1</v>
      </c>
      <c r="K17" s="22" t="s">
        <v>29</v>
      </c>
      <c r="L17" s="17" t="s">
        <v>30</v>
      </c>
      <c r="M17" s="22" t="s">
        <v>28</v>
      </c>
      <c r="N17" s="18">
        <f t="shared" si="12"/>
        <v>2</v>
      </c>
      <c r="O17" s="30">
        <f t="shared" si="19"/>
        <v>0.6666666667</v>
      </c>
      <c r="P17" s="20">
        <f t="shared" si="14"/>
        <v>1</v>
      </c>
      <c r="Q17" s="31" t="s">
        <v>33</v>
      </c>
      <c r="R17" s="31" t="s">
        <v>28</v>
      </c>
      <c r="S17" s="31" t="s">
        <v>29</v>
      </c>
      <c r="T17" s="29">
        <f t="shared" si="20"/>
        <v>0</v>
      </c>
      <c r="U17" s="30">
        <f t="shared" si="21"/>
        <v>0</v>
      </c>
      <c r="V17" s="32" t="s">
        <v>29</v>
      </c>
      <c r="W17" s="32" t="s">
        <v>33</v>
      </c>
      <c r="X17" s="32" t="s">
        <v>28</v>
      </c>
      <c r="Y17" s="13">
        <v>46131.0</v>
      </c>
      <c r="Z17" s="5"/>
      <c r="AA17" s="5"/>
      <c r="AB17" s="5"/>
    </row>
    <row r="18">
      <c r="A18" s="21">
        <v>301.0</v>
      </c>
      <c r="B18" s="21" t="s">
        <v>46</v>
      </c>
      <c r="C18" s="21" t="s">
        <v>26</v>
      </c>
      <c r="D18" s="21" t="s">
        <v>27</v>
      </c>
      <c r="E18" s="17" t="s">
        <v>30</v>
      </c>
      <c r="F18" s="16" t="s">
        <v>31</v>
      </c>
      <c r="G18" s="17" t="s">
        <v>30</v>
      </c>
      <c r="H18" s="29">
        <f t="shared" si="17"/>
        <v>1</v>
      </c>
      <c r="I18" s="30">
        <f t="shared" si="18"/>
        <v>0.3333333333</v>
      </c>
      <c r="J18" s="20">
        <f t="shared" si="11"/>
        <v>1</v>
      </c>
      <c r="K18" s="16" t="s">
        <v>29</v>
      </c>
      <c r="L18" s="16" t="s">
        <v>31</v>
      </c>
      <c r="M18" s="16" t="s">
        <v>29</v>
      </c>
      <c r="N18" s="18">
        <f t="shared" si="12"/>
        <v>2</v>
      </c>
      <c r="O18" s="30">
        <f t="shared" si="19"/>
        <v>0.6666666667</v>
      </c>
      <c r="P18" s="20">
        <f t="shared" si="14"/>
        <v>0.6666666667</v>
      </c>
      <c r="Q18" s="31" t="s">
        <v>31</v>
      </c>
      <c r="R18" s="31" t="s">
        <v>28</v>
      </c>
      <c r="S18" s="31" t="s">
        <v>29</v>
      </c>
      <c r="T18" s="29">
        <f t="shared" si="20"/>
        <v>1</v>
      </c>
      <c r="U18" s="30">
        <f t="shared" si="21"/>
        <v>0.3333333333</v>
      </c>
      <c r="V18" s="32" t="s">
        <v>28</v>
      </c>
      <c r="W18" s="32" t="s">
        <v>31</v>
      </c>
      <c r="X18" s="32" t="s">
        <v>29</v>
      </c>
      <c r="Y18" s="13"/>
      <c r="Z18" s="5"/>
      <c r="AA18" s="5"/>
      <c r="AB18" s="5"/>
    </row>
    <row r="19">
      <c r="A19" s="21">
        <v>302.0</v>
      </c>
      <c r="B19" s="21" t="s">
        <v>46</v>
      </c>
      <c r="C19" s="21" t="s">
        <v>26</v>
      </c>
      <c r="D19" s="21" t="s">
        <v>27</v>
      </c>
      <c r="E19" s="22" t="s">
        <v>28</v>
      </c>
      <c r="F19" s="17" t="s">
        <v>30</v>
      </c>
      <c r="G19" s="17" t="s">
        <v>30</v>
      </c>
      <c r="H19" s="29">
        <f t="shared" si="17"/>
        <v>1</v>
      </c>
      <c r="I19" s="30">
        <f t="shared" si="18"/>
        <v>0.3333333333</v>
      </c>
      <c r="J19" s="20">
        <f t="shared" si="11"/>
        <v>1</v>
      </c>
      <c r="K19" s="22" t="s">
        <v>28</v>
      </c>
      <c r="L19" s="22" t="s">
        <v>28</v>
      </c>
      <c r="M19" s="22" t="s">
        <v>28</v>
      </c>
      <c r="N19" s="18">
        <f t="shared" si="12"/>
        <v>3</v>
      </c>
      <c r="O19" s="30">
        <f t="shared" si="19"/>
        <v>1</v>
      </c>
      <c r="P19" s="20">
        <f t="shared" si="14"/>
        <v>1</v>
      </c>
      <c r="Q19" s="31" t="s">
        <v>33</v>
      </c>
      <c r="R19" s="31" t="s">
        <v>31</v>
      </c>
      <c r="S19" s="31" t="s">
        <v>28</v>
      </c>
      <c r="T19" s="29">
        <f t="shared" si="20"/>
        <v>1</v>
      </c>
      <c r="U19" s="30">
        <f t="shared" si="21"/>
        <v>0.3333333333</v>
      </c>
      <c r="V19" s="32" t="s">
        <v>28</v>
      </c>
      <c r="W19" s="32" t="s">
        <v>28</v>
      </c>
      <c r="X19" s="32" t="s">
        <v>28</v>
      </c>
      <c r="Y19" s="13"/>
      <c r="Z19" s="5"/>
      <c r="AA19" s="5"/>
      <c r="AB19" s="5"/>
    </row>
    <row r="20">
      <c r="A20" s="21">
        <v>303.0</v>
      </c>
      <c r="B20" s="21" t="s">
        <v>46</v>
      </c>
      <c r="C20" s="21" t="s">
        <v>26</v>
      </c>
      <c r="D20" s="21" t="s">
        <v>27</v>
      </c>
      <c r="E20" s="17" t="s">
        <v>30</v>
      </c>
      <c r="F20" s="17" t="s">
        <v>30</v>
      </c>
      <c r="G20" s="16" t="s">
        <v>33</v>
      </c>
      <c r="H20" s="29">
        <f t="shared" si="17"/>
        <v>0</v>
      </c>
      <c r="I20" s="30">
        <f t="shared" si="18"/>
        <v>0</v>
      </c>
      <c r="J20" s="20">
        <f t="shared" si="11"/>
        <v>0</v>
      </c>
      <c r="K20" s="16" t="s">
        <v>33</v>
      </c>
      <c r="L20" s="16" t="s">
        <v>29</v>
      </c>
      <c r="M20" s="16" t="s">
        <v>33</v>
      </c>
      <c r="N20" s="18">
        <f t="shared" si="12"/>
        <v>0</v>
      </c>
      <c r="O20" s="30">
        <f t="shared" si="19"/>
        <v>0</v>
      </c>
      <c r="P20" s="20">
        <f t="shared" si="14"/>
        <v>0</v>
      </c>
      <c r="Q20" s="31" t="s">
        <v>31</v>
      </c>
      <c r="R20" s="31" t="s">
        <v>28</v>
      </c>
      <c r="S20" s="31" t="s">
        <v>29</v>
      </c>
      <c r="T20" s="29">
        <f t="shared" si="20"/>
        <v>1</v>
      </c>
      <c r="U20" s="30">
        <f t="shared" si="21"/>
        <v>0.3333333333</v>
      </c>
      <c r="V20" s="32" t="s">
        <v>28</v>
      </c>
      <c r="W20" s="32" t="s">
        <v>33</v>
      </c>
      <c r="X20" s="32" t="s">
        <v>29</v>
      </c>
      <c r="Y20" s="13"/>
      <c r="Z20" s="5"/>
      <c r="AA20" s="5"/>
      <c r="AB20" s="5"/>
    </row>
    <row r="21">
      <c r="A21" s="21">
        <v>321.0</v>
      </c>
      <c r="B21" s="21" t="s">
        <v>46</v>
      </c>
      <c r="C21" s="21" t="s">
        <v>26</v>
      </c>
      <c r="D21" s="21" t="s">
        <v>32</v>
      </c>
      <c r="E21" s="22" t="s">
        <v>31</v>
      </c>
      <c r="F21" s="22" t="s">
        <v>31</v>
      </c>
      <c r="G21" s="22" t="s">
        <v>33</v>
      </c>
      <c r="H21" s="29">
        <f t="shared" si="17"/>
        <v>2</v>
      </c>
      <c r="I21" s="30">
        <f t="shared" si="18"/>
        <v>0.6666666667</v>
      </c>
      <c r="J21" s="20">
        <f t="shared" si="11"/>
        <v>0.6666666667</v>
      </c>
      <c r="K21" s="22" t="s">
        <v>31</v>
      </c>
      <c r="L21" s="22" t="s">
        <v>31</v>
      </c>
      <c r="M21" s="22" t="s">
        <v>33</v>
      </c>
      <c r="N21" s="18">
        <f t="shared" si="12"/>
        <v>2</v>
      </c>
      <c r="O21" s="30">
        <f t="shared" si="19"/>
        <v>0.6666666667</v>
      </c>
      <c r="P21" s="20">
        <f t="shared" si="14"/>
        <v>0.6666666667</v>
      </c>
      <c r="Q21" s="31" t="s">
        <v>31</v>
      </c>
      <c r="R21" s="31" t="s">
        <v>33</v>
      </c>
      <c r="S21" s="31" t="s">
        <v>33</v>
      </c>
      <c r="T21" s="29">
        <f t="shared" si="20"/>
        <v>2</v>
      </c>
      <c r="U21" s="30">
        <f t="shared" si="21"/>
        <v>0.6666666667</v>
      </c>
      <c r="V21" s="32" t="s">
        <v>31</v>
      </c>
      <c r="W21" s="32" t="s">
        <v>29</v>
      </c>
      <c r="X21" s="32" t="s">
        <v>33</v>
      </c>
      <c r="Y21" s="13"/>
      <c r="Z21" s="5"/>
      <c r="AA21" s="5"/>
      <c r="AB21" s="5"/>
    </row>
    <row r="22">
      <c r="A22" s="21">
        <v>322.0</v>
      </c>
      <c r="B22" s="21" t="s">
        <v>46</v>
      </c>
      <c r="C22" s="21" t="s">
        <v>26</v>
      </c>
      <c r="D22" s="21" t="s">
        <v>32</v>
      </c>
      <c r="E22" s="16" t="s">
        <v>28</v>
      </c>
      <c r="F22" s="17" t="s">
        <v>30</v>
      </c>
      <c r="G22" s="17" t="s">
        <v>30</v>
      </c>
      <c r="H22" s="29">
        <f t="shared" si="17"/>
        <v>1</v>
      </c>
      <c r="I22" s="30">
        <f t="shared" si="18"/>
        <v>0.3333333333</v>
      </c>
      <c r="J22" s="20">
        <f t="shared" si="11"/>
        <v>1</v>
      </c>
      <c r="K22" s="16" t="s">
        <v>28</v>
      </c>
      <c r="L22" s="17" t="s">
        <v>30</v>
      </c>
      <c r="M22" s="16" t="s">
        <v>29</v>
      </c>
      <c r="N22" s="18">
        <f t="shared" si="12"/>
        <v>2</v>
      </c>
      <c r="O22" s="30">
        <f t="shared" si="19"/>
        <v>0.6666666667</v>
      </c>
      <c r="P22" s="20">
        <f t="shared" si="14"/>
        <v>1</v>
      </c>
      <c r="Q22" s="31" t="s">
        <v>28</v>
      </c>
      <c r="R22" s="31" t="s">
        <v>31</v>
      </c>
      <c r="S22" s="31" t="s">
        <v>31</v>
      </c>
      <c r="T22" s="29">
        <f t="shared" si="20"/>
        <v>2</v>
      </c>
      <c r="U22" s="30">
        <f t="shared" si="21"/>
        <v>0.6666666667</v>
      </c>
      <c r="V22" s="32" t="s">
        <v>28</v>
      </c>
      <c r="W22" s="32" t="s">
        <v>31</v>
      </c>
      <c r="X22" s="32" t="s">
        <v>29</v>
      </c>
      <c r="Y22" s="13"/>
      <c r="Z22" s="5"/>
      <c r="AA22" s="5"/>
      <c r="AB22" s="5"/>
    </row>
    <row r="23">
      <c r="A23" s="21">
        <v>323.0</v>
      </c>
      <c r="B23" s="21" t="s">
        <v>46</v>
      </c>
      <c r="C23" s="21" t="s">
        <v>26</v>
      </c>
      <c r="D23" s="21" t="s">
        <v>32</v>
      </c>
      <c r="E23" s="22" t="s">
        <v>31</v>
      </c>
      <c r="F23" s="22" t="s">
        <v>31</v>
      </c>
      <c r="G23" s="17" t="s">
        <v>30</v>
      </c>
      <c r="H23" s="29">
        <f t="shared" si="17"/>
        <v>1</v>
      </c>
      <c r="I23" s="30">
        <f t="shared" si="18"/>
        <v>0.3333333333</v>
      </c>
      <c r="J23" s="20">
        <f t="shared" si="11"/>
        <v>0.5</v>
      </c>
      <c r="K23" s="22" t="s">
        <v>31</v>
      </c>
      <c r="L23" s="22" t="s">
        <v>31</v>
      </c>
      <c r="M23" s="22" t="s">
        <v>33</v>
      </c>
      <c r="N23" s="18">
        <f t="shared" si="12"/>
        <v>1</v>
      </c>
      <c r="O23" s="30">
        <f t="shared" si="19"/>
        <v>0.3333333333</v>
      </c>
      <c r="P23" s="20">
        <f t="shared" si="14"/>
        <v>0.3333333333</v>
      </c>
      <c r="Q23" s="31" t="s">
        <v>31</v>
      </c>
      <c r="R23" s="31" t="s">
        <v>33</v>
      </c>
      <c r="S23" s="31" t="s">
        <v>28</v>
      </c>
      <c r="T23" s="29">
        <f t="shared" si="20"/>
        <v>3</v>
      </c>
      <c r="U23" s="30">
        <f t="shared" si="21"/>
        <v>1</v>
      </c>
      <c r="V23" s="32" t="s">
        <v>31</v>
      </c>
      <c r="W23" s="32" t="s">
        <v>33</v>
      </c>
      <c r="X23" s="32" t="s">
        <v>28</v>
      </c>
      <c r="Y23" s="13"/>
      <c r="Z23" s="5"/>
      <c r="AA23" s="5"/>
      <c r="AB23" s="5"/>
    </row>
    <row r="24">
      <c r="A24" s="21">
        <v>341.0</v>
      </c>
      <c r="B24" s="21" t="s">
        <v>46</v>
      </c>
      <c r="C24" s="21" t="s">
        <v>26</v>
      </c>
      <c r="D24" s="21" t="s">
        <v>34</v>
      </c>
      <c r="E24" s="16" t="s">
        <v>31</v>
      </c>
      <c r="F24" s="16" t="s">
        <v>33</v>
      </c>
      <c r="G24" s="17" t="s">
        <v>30</v>
      </c>
      <c r="H24" s="29">
        <f t="shared" si="17"/>
        <v>1</v>
      </c>
      <c r="I24" s="30">
        <f t="shared" si="18"/>
        <v>0.3333333333</v>
      </c>
      <c r="J24" s="20">
        <f t="shared" si="11"/>
        <v>0.5</v>
      </c>
      <c r="K24" s="16" t="s">
        <v>31</v>
      </c>
      <c r="L24" s="16" t="s">
        <v>33</v>
      </c>
      <c r="M24" s="16" t="s">
        <v>29</v>
      </c>
      <c r="N24" s="18">
        <f t="shared" si="12"/>
        <v>1</v>
      </c>
      <c r="O24" s="30">
        <f t="shared" si="19"/>
        <v>0.3333333333</v>
      </c>
      <c r="P24" s="20">
        <f t="shared" si="14"/>
        <v>0.3333333333</v>
      </c>
      <c r="Q24" s="31" t="s">
        <v>31</v>
      </c>
      <c r="R24" s="31" t="s">
        <v>33</v>
      </c>
      <c r="S24" s="31" t="s">
        <v>33</v>
      </c>
      <c r="T24" s="29">
        <f t="shared" si="20"/>
        <v>2</v>
      </c>
      <c r="U24" s="30">
        <f t="shared" si="21"/>
        <v>0.6666666667</v>
      </c>
      <c r="V24" s="32" t="s">
        <v>31</v>
      </c>
      <c r="W24" s="32" t="s">
        <v>28</v>
      </c>
      <c r="X24" s="32" t="s">
        <v>33</v>
      </c>
      <c r="Y24" s="24">
        <v>46131.0</v>
      </c>
      <c r="Z24" s="5"/>
      <c r="AA24" s="5"/>
      <c r="AB24" s="5"/>
    </row>
    <row r="25" ht="15.75" customHeight="1">
      <c r="A25" s="21">
        <v>343.0</v>
      </c>
      <c r="B25" s="21" t="s">
        <v>46</v>
      </c>
      <c r="C25" s="21" t="s">
        <v>26</v>
      </c>
      <c r="D25" s="21" t="s">
        <v>34</v>
      </c>
      <c r="E25" s="17" t="s">
        <v>30</v>
      </c>
      <c r="F25" s="17" t="s">
        <v>30</v>
      </c>
      <c r="G25" s="17" t="s">
        <v>30</v>
      </c>
      <c r="H25" s="29">
        <f t="shared" si="17"/>
        <v>0</v>
      </c>
      <c r="I25" s="30">
        <f t="shared" si="18"/>
        <v>0</v>
      </c>
      <c r="J25" s="20" t="str">
        <f t="shared" si="11"/>
        <v>XXX</v>
      </c>
      <c r="K25" s="22" t="s">
        <v>33</v>
      </c>
      <c r="L25" s="22" t="s">
        <v>29</v>
      </c>
      <c r="M25" s="22" t="s">
        <v>31</v>
      </c>
      <c r="N25" s="18">
        <f t="shared" si="12"/>
        <v>2</v>
      </c>
      <c r="O25" s="30">
        <f t="shared" si="19"/>
        <v>0.6666666667</v>
      </c>
      <c r="P25" s="20">
        <f t="shared" si="14"/>
        <v>0.6666666667</v>
      </c>
      <c r="Q25" s="31" t="s">
        <v>33</v>
      </c>
      <c r="R25" s="31" t="s">
        <v>28</v>
      </c>
      <c r="S25" s="31" t="s">
        <v>30</v>
      </c>
      <c r="T25" s="29">
        <f t="shared" si="20"/>
        <v>2</v>
      </c>
      <c r="U25" s="30">
        <f t="shared" si="21"/>
        <v>0.6666666667</v>
      </c>
      <c r="V25" s="32" t="s">
        <v>33</v>
      </c>
      <c r="W25" s="32" t="s">
        <v>28</v>
      </c>
      <c r="X25" s="32" t="s">
        <v>31</v>
      </c>
      <c r="Y25" s="13">
        <v>46131.0</v>
      </c>
      <c r="Z25" s="5"/>
      <c r="AA25" s="5"/>
      <c r="AB25" s="5"/>
    </row>
    <row r="26" ht="15.75" customHeight="1">
      <c r="A26" s="21">
        <v>344.0</v>
      </c>
      <c r="B26" s="21" t="s">
        <v>46</v>
      </c>
      <c r="C26" s="21" t="s">
        <v>26</v>
      </c>
      <c r="D26" s="21" t="s">
        <v>34</v>
      </c>
      <c r="E26" s="17" t="s">
        <v>30</v>
      </c>
      <c r="F26" s="17" t="s">
        <v>30</v>
      </c>
      <c r="G26" s="16" t="s">
        <v>33</v>
      </c>
      <c r="H26" s="29">
        <f t="shared" si="17"/>
        <v>1</v>
      </c>
      <c r="I26" s="30">
        <f t="shared" si="18"/>
        <v>0.3333333333</v>
      </c>
      <c r="J26" s="20">
        <f t="shared" si="11"/>
        <v>1</v>
      </c>
      <c r="K26" s="16" t="s">
        <v>28</v>
      </c>
      <c r="L26" s="16" t="s">
        <v>28</v>
      </c>
      <c r="M26" s="16" t="s">
        <v>33</v>
      </c>
      <c r="N26" s="18">
        <f t="shared" si="12"/>
        <v>2</v>
      </c>
      <c r="O26" s="30">
        <f t="shared" si="19"/>
        <v>0.6666666667</v>
      </c>
      <c r="P26" s="20">
        <f t="shared" si="14"/>
        <v>0.6666666667</v>
      </c>
      <c r="Q26" s="31" t="s">
        <v>28</v>
      </c>
      <c r="R26" s="31" t="s">
        <v>28</v>
      </c>
      <c r="S26" s="31" t="s">
        <v>33</v>
      </c>
      <c r="T26" s="29">
        <f t="shared" si="20"/>
        <v>2</v>
      </c>
      <c r="U26" s="30">
        <f t="shared" si="21"/>
        <v>0.6666666667</v>
      </c>
      <c r="V26" s="32" t="s">
        <v>28</v>
      </c>
      <c r="W26" s="32" t="s">
        <v>29</v>
      </c>
      <c r="X26" s="32" t="s">
        <v>33</v>
      </c>
      <c r="Y26" s="24">
        <v>46131.0</v>
      </c>
      <c r="Z26" s="5"/>
      <c r="AA26" s="5"/>
      <c r="AB26" s="5"/>
    </row>
    <row r="27" ht="15.75" customHeight="1">
      <c r="A27" s="21">
        <v>381.0</v>
      </c>
      <c r="B27" s="21" t="s">
        <v>46</v>
      </c>
      <c r="C27" s="21" t="s">
        <v>26</v>
      </c>
      <c r="D27" s="21" t="s">
        <v>35</v>
      </c>
      <c r="E27" s="17" t="s">
        <v>30</v>
      </c>
      <c r="F27" s="22" t="s">
        <v>33</v>
      </c>
      <c r="G27" s="17" t="s">
        <v>30</v>
      </c>
      <c r="H27" s="29">
        <f t="shared" si="17"/>
        <v>1</v>
      </c>
      <c r="I27" s="30">
        <f t="shared" si="18"/>
        <v>0.3333333333</v>
      </c>
      <c r="J27" s="20">
        <f t="shared" si="11"/>
        <v>1</v>
      </c>
      <c r="K27" s="17" t="s">
        <v>30</v>
      </c>
      <c r="L27" s="22" t="s">
        <v>33</v>
      </c>
      <c r="M27" s="22" t="s">
        <v>31</v>
      </c>
      <c r="N27" s="18">
        <f t="shared" si="12"/>
        <v>1</v>
      </c>
      <c r="O27" s="30">
        <f t="shared" si="19"/>
        <v>0.3333333333</v>
      </c>
      <c r="P27" s="20">
        <f t="shared" si="14"/>
        <v>0.5</v>
      </c>
      <c r="Q27" s="31" t="s">
        <v>29</v>
      </c>
      <c r="R27" s="31" t="s">
        <v>33</v>
      </c>
      <c r="S27" s="31" t="s">
        <v>31</v>
      </c>
      <c r="T27" s="29">
        <f t="shared" si="20"/>
        <v>2</v>
      </c>
      <c r="U27" s="30">
        <f t="shared" si="21"/>
        <v>0.6666666667</v>
      </c>
      <c r="V27" s="32" t="s">
        <v>29</v>
      </c>
      <c r="W27" s="32" t="s">
        <v>33</v>
      </c>
      <c r="X27" s="32" t="s">
        <v>33</v>
      </c>
      <c r="Y27" s="13">
        <v>46131.0</v>
      </c>
      <c r="Z27" s="5"/>
      <c r="AA27" s="5"/>
      <c r="AB27" s="5"/>
    </row>
    <row r="28" ht="15.75" customHeight="1">
      <c r="A28" s="21">
        <v>382.0</v>
      </c>
      <c r="B28" s="21" t="s">
        <v>46</v>
      </c>
      <c r="C28" s="21" t="s">
        <v>26</v>
      </c>
      <c r="D28" s="21" t="s">
        <v>35</v>
      </c>
      <c r="E28" s="17" t="s">
        <v>30</v>
      </c>
      <c r="F28" s="17" t="s">
        <v>30</v>
      </c>
      <c r="G28" s="17" t="s">
        <v>30</v>
      </c>
      <c r="H28" s="29">
        <f t="shared" si="17"/>
        <v>0</v>
      </c>
      <c r="I28" s="30">
        <f t="shared" si="18"/>
        <v>0</v>
      </c>
      <c r="J28" s="20" t="str">
        <f t="shared" si="11"/>
        <v>XXX</v>
      </c>
      <c r="K28" s="16" t="s">
        <v>29</v>
      </c>
      <c r="L28" s="16" t="s">
        <v>28</v>
      </c>
      <c r="M28" s="16" t="s">
        <v>28</v>
      </c>
      <c r="N28" s="18">
        <f t="shared" si="12"/>
        <v>1</v>
      </c>
      <c r="O28" s="30">
        <f t="shared" si="19"/>
        <v>0.3333333333</v>
      </c>
      <c r="P28" s="20">
        <f t="shared" si="14"/>
        <v>0.3333333333</v>
      </c>
      <c r="Q28" s="31" t="s">
        <v>31</v>
      </c>
      <c r="R28" s="31" t="s">
        <v>28</v>
      </c>
      <c r="S28" s="31" t="s">
        <v>28</v>
      </c>
      <c r="T28" s="29">
        <f t="shared" si="20"/>
        <v>0</v>
      </c>
      <c r="U28" s="30">
        <f t="shared" si="21"/>
        <v>0</v>
      </c>
      <c r="V28" s="32" t="s">
        <v>29</v>
      </c>
      <c r="W28" s="32" t="s">
        <v>29</v>
      </c>
      <c r="X28" s="32" t="s">
        <v>29</v>
      </c>
      <c r="Y28" s="24">
        <v>46131.0</v>
      </c>
      <c r="Z28" s="5"/>
      <c r="AA28" s="5"/>
      <c r="AB28" s="5"/>
    </row>
    <row r="29" ht="15.75" customHeight="1">
      <c r="A29" s="21">
        <v>383.0</v>
      </c>
      <c r="B29" s="21" t="s">
        <v>46</v>
      </c>
      <c r="C29" s="21" t="s">
        <v>26</v>
      </c>
      <c r="D29" s="21" t="s">
        <v>35</v>
      </c>
      <c r="E29" s="17" t="s">
        <v>30</v>
      </c>
      <c r="F29" s="17" t="s">
        <v>30</v>
      </c>
      <c r="G29" s="22" t="s">
        <v>33</v>
      </c>
      <c r="H29" s="29">
        <f t="shared" si="17"/>
        <v>1</v>
      </c>
      <c r="I29" s="30">
        <f t="shared" si="18"/>
        <v>0.3333333333</v>
      </c>
      <c r="J29" s="20">
        <f t="shared" si="11"/>
        <v>1</v>
      </c>
      <c r="K29" s="22" t="s">
        <v>31</v>
      </c>
      <c r="L29" s="22" t="s">
        <v>29</v>
      </c>
      <c r="M29" s="22" t="s">
        <v>33</v>
      </c>
      <c r="N29" s="18">
        <f t="shared" si="12"/>
        <v>1</v>
      </c>
      <c r="O29" s="30">
        <f t="shared" si="19"/>
        <v>0.3333333333</v>
      </c>
      <c r="P29" s="20">
        <f t="shared" si="14"/>
        <v>0.3333333333</v>
      </c>
      <c r="Q29" s="31" t="s">
        <v>29</v>
      </c>
      <c r="R29" s="31" t="s">
        <v>31</v>
      </c>
      <c r="S29" s="31" t="s">
        <v>33</v>
      </c>
      <c r="T29" s="29">
        <f t="shared" si="20"/>
        <v>1</v>
      </c>
      <c r="U29" s="30">
        <f t="shared" si="21"/>
        <v>0.3333333333</v>
      </c>
      <c r="V29" s="32" t="s">
        <v>33</v>
      </c>
      <c r="W29" s="32" t="s">
        <v>33</v>
      </c>
      <c r="X29" s="32" t="s">
        <v>33</v>
      </c>
      <c r="Y29" s="13">
        <v>46131.0</v>
      </c>
      <c r="Z29" s="5"/>
      <c r="AA29" s="5"/>
      <c r="AB29" s="5"/>
    </row>
    <row r="30" ht="15.75" customHeight="1">
      <c r="A30" s="21">
        <v>391.0</v>
      </c>
      <c r="B30" s="21" t="s">
        <v>46</v>
      </c>
      <c r="C30" s="21" t="s">
        <v>36</v>
      </c>
      <c r="D30" s="21" t="s">
        <v>37</v>
      </c>
      <c r="E30" s="17" t="s">
        <v>30</v>
      </c>
      <c r="F30" s="17" t="s">
        <v>30</v>
      </c>
      <c r="G30" s="17" t="s">
        <v>30</v>
      </c>
      <c r="H30" s="29">
        <f t="shared" si="17"/>
        <v>0</v>
      </c>
      <c r="I30" s="30">
        <f t="shared" si="18"/>
        <v>0</v>
      </c>
      <c r="J30" s="20" t="str">
        <f t="shared" si="11"/>
        <v>XXX</v>
      </c>
      <c r="K30" s="16" t="s">
        <v>29</v>
      </c>
      <c r="L30" s="16" t="s">
        <v>28</v>
      </c>
      <c r="M30" s="16" t="s">
        <v>33</v>
      </c>
      <c r="N30" s="18">
        <f t="shared" si="12"/>
        <v>3</v>
      </c>
      <c r="O30" s="30">
        <f t="shared" si="19"/>
        <v>1</v>
      </c>
      <c r="P30" s="20">
        <f t="shared" si="14"/>
        <v>1</v>
      </c>
      <c r="Q30" s="31" t="s">
        <v>29</v>
      </c>
      <c r="R30" s="31" t="s">
        <v>31</v>
      </c>
      <c r="S30" s="31" t="s">
        <v>33</v>
      </c>
      <c r="T30" s="29">
        <f t="shared" si="20"/>
        <v>2</v>
      </c>
      <c r="U30" s="30">
        <f t="shared" si="21"/>
        <v>0.6666666667</v>
      </c>
      <c r="V30" s="32" t="s">
        <v>29</v>
      </c>
      <c r="W30" s="32" t="s">
        <v>28</v>
      </c>
      <c r="X30" s="32" t="s">
        <v>33</v>
      </c>
      <c r="Y30" s="24">
        <v>46131.0</v>
      </c>
      <c r="Z30" s="5"/>
      <c r="AA30" s="5"/>
      <c r="AB30" s="5"/>
    </row>
    <row r="31" ht="15.75" customHeight="1">
      <c r="A31" s="21">
        <v>392.0</v>
      </c>
      <c r="B31" s="21" t="s">
        <v>46</v>
      </c>
      <c r="C31" s="21" t="s">
        <v>36</v>
      </c>
      <c r="D31" s="21" t="s">
        <v>37</v>
      </c>
      <c r="E31" s="17" t="s">
        <v>30</v>
      </c>
      <c r="F31" s="17" t="s">
        <v>30</v>
      </c>
      <c r="G31" s="17" t="s">
        <v>30</v>
      </c>
      <c r="H31" s="29">
        <f t="shared" si="17"/>
        <v>0</v>
      </c>
      <c r="I31" s="30">
        <f t="shared" si="18"/>
        <v>0</v>
      </c>
      <c r="J31" s="20" t="str">
        <f t="shared" si="11"/>
        <v>XXX</v>
      </c>
      <c r="K31" s="22" t="s">
        <v>29</v>
      </c>
      <c r="L31" s="22" t="s">
        <v>29</v>
      </c>
      <c r="M31" s="22" t="s">
        <v>29</v>
      </c>
      <c r="N31" s="18">
        <f t="shared" si="12"/>
        <v>2</v>
      </c>
      <c r="O31" s="30">
        <f t="shared" si="19"/>
        <v>0.6666666667</v>
      </c>
      <c r="P31" s="20">
        <f t="shared" si="14"/>
        <v>0.6666666667</v>
      </c>
      <c r="Q31" s="31" t="s">
        <v>31</v>
      </c>
      <c r="R31" s="31" t="s">
        <v>29</v>
      </c>
      <c r="S31" s="31" t="s">
        <v>28</v>
      </c>
      <c r="T31" s="29">
        <f t="shared" si="20"/>
        <v>2</v>
      </c>
      <c r="U31" s="30">
        <f t="shared" si="21"/>
        <v>0.6666666667</v>
      </c>
      <c r="V31" s="32" t="s">
        <v>31</v>
      </c>
      <c r="W31" s="32" t="s">
        <v>29</v>
      </c>
      <c r="X31" s="32" t="s">
        <v>29</v>
      </c>
      <c r="Y31" s="13">
        <v>46131.0</v>
      </c>
      <c r="Z31" s="5"/>
      <c r="AA31" s="5"/>
      <c r="AB31" s="5"/>
    </row>
    <row r="32" ht="15.75" customHeight="1">
      <c r="A32" s="33">
        <v>393.0</v>
      </c>
      <c r="B32" s="21" t="s">
        <v>46</v>
      </c>
      <c r="C32" s="21" t="s">
        <v>36</v>
      </c>
      <c r="D32" s="21" t="s">
        <v>37</v>
      </c>
      <c r="E32" s="17" t="s">
        <v>30</v>
      </c>
      <c r="F32" s="17" t="s">
        <v>30</v>
      </c>
      <c r="G32" s="17" t="s">
        <v>30</v>
      </c>
      <c r="H32" s="29">
        <f t="shared" si="17"/>
        <v>0</v>
      </c>
      <c r="I32" s="30">
        <f t="shared" si="18"/>
        <v>0</v>
      </c>
      <c r="J32" s="20" t="str">
        <f t="shared" si="11"/>
        <v>XXX</v>
      </c>
      <c r="K32" s="16" t="s">
        <v>29</v>
      </c>
      <c r="L32" s="16" t="s">
        <v>29</v>
      </c>
      <c r="M32" s="16" t="s">
        <v>29</v>
      </c>
      <c r="N32" s="18">
        <f t="shared" si="12"/>
        <v>0</v>
      </c>
      <c r="O32" s="30">
        <f t="shared" si="19"/>
        <v>0</v>
      </c>
      <c r="P32" s="20">
        <f t="shared" si="14"/>
        <v>0</v>
      </c>
      <c r="Q32" s="31" t="s">
        <v>33</v>
      </c>
      <c r="R32" s="31" t="s">
        <v>33</v>
      </c>
      <c r="S32" s="31" t="s">
        <v>31</v>
      </c>
      <c r="T32" s="29">
        <f t="shared" si="20"/>
        <v>2</v>
      </c>
      <c r="U32" s="30">
        <f t="shared" si="21"/>
        <v>0.6666666667</v>
      </c>
      <c r="V32" s="32" t="s">
        <v>33</v>
      </c>
      <c r="W32" s="32" t="s">
        <v>28</v>
      </c>
      <c r="X32" s="32" t="s">
        <v>31</v>
      </c>
      <c r="Y32" s="24">
        <v>46131.0</v>
      </c>
      <c r="Z32" s="5"/>
      <c r="AA32" s="5"/>
      <c r="AB32" s="5"/>
    </row>
    <row r="33" ht="15.75" customHeight="1">
      <c r="A33" s="21">
        <v>402.0</v>
      </c>
      <c r="B33" s="21" t="s">
        <v>46</v>
      </c>
      <c r="C33" s="21" t="s">
        <v>36</v>
      </c>
      <c r="D33" s="21" t="s">
        <v>38</v>
      </c>
      <c r="E33" s="17" t="s">
        <v>30</v>
      </c>
      <c r="F33" s="22" t="s">
        <v>29</v>
      </c>
      <c r="G33" s="22" t="s">
        <v>33</v>
      </c>
      <c r="H33" s="29">
        <f t="shared" si="17"/>
        <v>2</v>
      </c>
      <c r="I33" s="30">
        <f t="shared" si="18"/>
        <v>0.6666666667</v>
      </c>
      <c r="J33" s="20">
        <f t="shared" si="11"/>
        <v>1</v>
      </c>
      <c r="K33" s="22" t="s">
        <v>33</v>
      </c>
      <c r="L33" s="22" t="s">
        <v>29</v>
      </c>
      <c r="M33" s="22" t="s">
        <v>33</v>
      </c>
      <c r="N33" s="18">
        <f t="shared" si="12"/>
        <v>2</v>
      </c>
      <c r="O33" s="30">
        <f t="shared" si="19"/>
        <v>0.6666666667</v>
      </c>
      <c r="P33" s="20">
        <f t="shared" si="14"/>
        <v>0.6666666667</v>
      </c>
      <c r="Q33" s="31" t="s">
        <v>33</v>
      </c>
      <c r="R33" s="31" t="s">
        <v>29</v>
      </c>
      <c r="S33" s="31" t="s">
        <v>53</v>
      </c>
      <c r="T33" s="29">
        <f t="shared" si="20"/>
        <v>1</v>
      </c>
      <c r="U33" s="30">
        <f t="shared" si="21"/>
        <v>0.3333333333</v>
      </c>
      <c r="V33" s="32" t="s">
        <v>31</v>
      </c>
      <c r="W33" s="32" t="s">
        <v>29</v>
      </c>
      <c r="X33" s="32" t="s">
        <v>33</v>
      </c>
      <c r="Y33" s="13">
        <v>46131.0</v>
      </c>
      <c r="Z33" s="5"/>
      <c r="AA33" s="5"/>
      <c r="AB33" s="5"/>
    </row>
    <row r="34" ht="15.75" customHeight="1">
      <c r="A34" s="21">
        <v>403.0</v>
      </c>
      <c r="B34" s="21" t="s">
        <v>46</v>
      </c>
      <c r="C34" s="21" t="s">
        <v>36</v>
      </c>
      <c r="D34" s="21" t="s">
        <v>38</v>
      </c>
      <c r="E34" s="16" t="s">
        <v>28</v>
      </c>
      <c r="F34" s="17" t="s">
        <v>30</v>
      </c>
      <c r="G34" s="17" t="s">
        <v>30</v>
      </c>
      <c r="H34" s="29">
        <f t="shared" si="17"/>
        <v>1</v>
      </c>
      <c r="I34" s="30">
        <f t="shared" si="18"/>
        <v>0.3333333333</v>
      </c>
      <c r="J34" s="20">
        <f t="shared" si="11"/>
        <v>1</v>
      </c>
      <c r="K34" s="16" t="s">
        <v>28</v>
      </c>
      <c r="L34" s="16" t="s">
        <v>29</v>
      </c>
      <c r="M34" s="16" t="s">
        <v>33</v>
      </c>
      <c r="N34" s="18">
        <f t="shared" si="12"/>
        <v>3</v>
      </c>
      <c r="O34" s="30">
        <f t="shared" si="19"/>
        <v>1</v>
      </c>
      <c r="P34" s="20">
        <f t="shared" si="14"/>
        <v>1</v>
      </c>
      <c r="Q34" s="31" t="s">
        <v>28</v>
      </c>
      <c r="R34" s="31" t="s">
        <v>29</v>
      </c>
      <c r="S34" s="31" t="s">
        <v>33</v>
      </c>
      <c r="T34" s="29">
        <f t="shared" si="20"/>
        <v>3</v>
      </c>
      <c r="U34" s="30">
        <f t="shared" si="21"/>
        <v>1</v>
      </c>
      <c r="V34" s="32" t="s">
        <v>28</v>
      </c>
      <c r="W34" s="32" t="s">
        <v>29</v>
      </c>
      <c r="X34" s="32" t="s">
        <v>33</v>
      </c>
      <c r="Y34" s="24">
        <v>46131.0</v>
      </c>
      <c r="Z34" s="5"/>
      <c r="AA34" s="5"/>
      <c r="AB34" s="5"/>
    </row>
    <row r="35" ht="15.75" customHeight="1">
      <c r="A35" s="21">
        <v>404.0</v>
      </c>
      <c r="B35" s="21" t="s">
        <v>46</v>
      </c>
      <c r="C35" s="21" t="s">
        <v>36</v>
      </c>
      <c r="D35" s="21" t="s">
        <v>38</v>
      </c>
      <c r="E35" s="22" t="s">
        <v>29</v>
      </c>
      <c r="F35" s="22" t="s">
        <v>33</v>
      </c>
      <c r="G35" s="22" t="s">
        <v>29</v>
      </c>
      <c r="H35" s="29">
        <f t="shared" si="17"/>
        <v>1</v>
      </c>
      <c r="I35" s="30">
        <f t="shared" si="18"/>
        <v>0.3333333333</v>
      </c>
      <c r="J35" s="20">
        <f t="shared" si="11"/>
        <v>0.3333333333</v>
      </c>
      <c r="K35" s="22" t="s">
        <v>29</v>
      </c>
      <c r="L35" s="22" t="s">
        <v>33</v>
      </c>
      <c r="M35" s="22" t="s">
        <v>29</v>
      </c>
      <c r="N35" s="18">
        <f t="shared" si="12"/>
        <v>1</v>
      </c>
      <c r="O35" s="30">
        <f t="shared" si="19"/>
        <v>0.3333333333</v>
      </c>
      <c r="P35" s="20">
        <f t="shared" si="14"/>
        <v>0.3333333333</v>
      </c>
      <c r="Q35" s="31" t="s">
        <v>31</v>
      </c>
      <c r="R35" s="31" t="s">
        <v>33</v>
      </c>
      <c r="S35" s="31" t="s">
        <v>33</v>
      </c>
      <c r="T35" s="29">
        <f t="shared" si="20"/>
        <v>2</v>
      </c>
      <c r="U35" s="30">
        <f t="shared" si="21"/>
        <v>0.6666666667</v>
      </c>
      <c r="V35" s="32" t="s">
        <v>31</v>
      </c>
      <c r="W35" s="32" t="s">
        <v>33</v>
      </c>
      <c r="X35" s="32" t="s">
        <v>31</v>
      </c>
      <c r="Y35" s="13">
        <v>46131.0</v>
      </c>
      <c r="Z35" s="5"/>
      <c r="AA35" s="5"/>
      <c r="AB35" s="5"/>
    </row>
    <row r="36" ht="15.75" customHeight="1">
      <c r="A36" s="21">
        <v>411.0</v>
      </c>
      <c r="B36" s="21" t="s">
        <v>46</v>
      </c>
      <c r="C36" s="21" t="s">
        <v>36</v>
      </c>
      <c r="D36" s="21" t="s">
        <v>47</v>
      </c>
      <c r="E36" s="16" t="s">
        <v>29</v>
      </c>
      <c r="F36" s="17" t="s">
        <v>30</v>
      </c>
      <c r="G36" s="16" t="s">
        <v>29</v>
      </c>
      <c r="H36" s="29">
        <f t="shared" si="17"/>
        <v>1</v>
      </c>
      <c r="I36" s="30">
        <f t="shared" si="18"/>
        <v>0.3333333333</v>
      </c>
      <c r="J36" s="20">
        <f t="shared" si="11"/>
        <v>0.5</v>
      </c>
      <c r="K36" s="16" t="s">
        <v>29</v>
      </c>
      <c r="L36" s="16" t="s">
        <v>28</v>
      </c>
      <c r="M36" s="16" t="s">
        <v>33</v>
      </c>
      <c r="N36" s="18">
        <f t="shared" si="12"/>
        <v>2</v>
      </c>
      <c r="O36" s="30">
        <f t="shared" si="19"/>
        <v>0.6666666667</v>
      </c>
      <c r="P36" s="20">
        <f t="shared" si="14"/>
        <v>0.6666666667</v>
      </c>
      <c r="Q36" s="31" t="s">
        <v>29</v>
      </c>
      <c r="R36" s="31" t="s">
        <v>28</v>
      </c>
      <c r="S36" s="31" t="s">
        <v>28</v>
      </c>
      <c r="T36" s="29">
        <f t="shared" si="20"/>
        <v>2</v>
      </c>
      <c r="U36" s="30">
        <f t="shared" si="21"/>
        <v>0.6666666667</v>
      </c>
      <c r="V36" s="32" t="s">
        <v>29</v>
      </c>
      <c r="W36" s="32" t="s">
        <v>28</v>
      </c>
      <c r="X36" s="32" t="s">
        <v>31</v>
      </c>
      <c r="Y36" s="24">
        <v>46131.0</v>
      </c>
      <c r="Z36" s="5"/>
      <c r="AA36" s="5"/>
      <c r="AB36" s="5"/>
    </row>
    <row r="37" ht="15.75" customHeight="1">
      <c r="A37" s="21">
        <v>412.0</v>
      </c>
      <c r="B37" s="21" t="s">
        <v>46</v>
      </c>
      <c r="C37" s="21" t="s">
        <v>36</v>
      </c>
      <c r="D37" s="21" t="s">
        <v>47</v>
      </c>
      <c r="E37" s="17" t="s">
        <v>30</v>
      </c>
      <c r="F37" s="17" t="s">
        <v>30</v>
      </c>
      <c r="G37" s="22" t="s">
        <v>28</v>
      </c>
      <c r="H37" s="29">
        <f t="shared" si="17"/>
        <v>1</v>
      </c>
      <c r="I37" s="30">
        <f t="shared" si="18"/>
        <v>0.3333333333</v>
      </c>
      <c r="J37" s="20">
        <f t="shared" si="11"/>
        <v>1</v>
      </c>
      <c r="K37" s="22" t="s">
        <v>31</v>
      </c>
      <c r="L37" s="22" t="s">
        <v>33</v>
      </c>
      <c r="M37" s="22" t="s">
        <v>28</v>
      </c>
      <c r="N37" s="18">
        <f t="shared" si="12"/>
        <v>3</v>
      </c>
      <c r="O37" s="30">
        <f t="shared" si="19"/>
        <v>1</v>
      </c>
      <c r="P37" s="20">
        <f t="shared" si="14"/>
        <v>1</v>
      </c>
      <c r="Q37" s="31" t="s">
        <v>31</v>
      </c>
      <c r="R37" s="31" t="s">
        <v>33</v>
      </c>
      <c r="S37" s="31" t="s">
        <v>28</v>
      </c>
      <c r="T37" s="29">
        <f t="shared" si="20"/>
        <v>3</v>
      </c>
      <c r="U37" s="30">
        <f t="shared" si="21"/>
        <v>1</v>
      </c>
      <c r="V37" s="32" t="s">
        <v>31</v>
      </c>
      <c r="W37" s="32" t="s">
        <v>33</v>
      </c>
      <c r="X37" s="32" t="s">
        <v>28</v>
      </c>
      <c r="Y37" s="13">
        <v>46131.0</v>
      </c>
      <c r="Z37" s="5"/>
      <c r="AA37" s="5"/>
      <c r="AB37" s="5"/>
    </row>
    <row r="38" ht="15.75" customHeight="1">
      <c r="A38" s="21">
        <v>413.0</v>
      </c>
      <c r="B38" s="21" t="s">
        <v>46</v>
      </c>
      <c r="C38" s="21" t="s">
        <v>36</v>
      </c>
      <c r="D38" s="21" t="s">
        <v>47</v>
      </c>
      <c r="E38" s="17" t="s">
        <v>30</v>
      </c>
      <c r="F38" s="16" t="s">
        <v>29</v>
      </c>
      <c r="G38" s="16" t="s">
        <v>29</v>
      </c>
      <c r="H38" s="29">
        <f t="shared" si="17"/>
        <v>2</v>
      </c>
      <c r="I38" s="30">
        <f t="shared" si="18"/>
        <v>0.6666666667</v>
      </c>
      <c r="J38" s="20">
        <f t="shared" si="11"/>
        <v>1</v>
      </c>
      <c r="K38" s="16" t="s">
        <v>29</v>
      </c>
      <c r="L38" s="16" t="s">
        <v>29</v>
      </c>
      <c r="M38" s="16" t="s">
        <v>29</v>
      </c>
      <c r="N38" s="18">
        <f t="shared" si="12"/>
        <v>3</v>
      </c>
      <c r="O38" s="30">
        <f t="shared" si="19"/>
        <v>1</v>
      </c>
      <c r="P38" s="20">
        <f t="shared" si="14"/>
        <v>1</v>
      </c>
      <c r="Q38" s="31" t="s">
        <v>29</v>
      </c>
      <c r="R38" s="31" t="s">
        <v>29</v>
      </c>
      <c r="S38" s="31" t="s">
        <v>28</v>
      </c>
      <c r="T38" s="29">
        <f t="shared" si="20"/>
        <v>2</v>
      </c>
      <c r="U38" s="30">
        <f t="shared" si="21"/>
        <v>0.6666666667</v>
      </c>
      <c r="V38" s="32" t="s">
        <v>29</v>
      </c>
      <c r="W38" s="32" t="s">
        <v>29</v>
      </c>
      <c r="X38" s="32" t="s">
        <v>29</v>
      </c>
      <c r="Y38" s="24">
        <v>46131.0</v>
      </c>
      <c r="Z38" s="5"/>
      <c r="AA38" s="5"/>
      <c r="AB38" s="5"/>
    </row>
    <row r="39" ht="15.75" customHeight="1">
      <c r="A39" s="21">
        <v>421.0</v>
      </c>
      <c r="B39" s="21" t="s">
        <v>46</v>
      </c>
      <c r="C39" s="21" t="s">
        <v>36</v>
      </c>
      <c r="D39" s="21" t="s">
        <v>48</v>
      </c>
      <c r="E39" s="17" t="s">
        <v>30</v>
      </c>
      <c r="F39" s="22" t="s">
        <v>29</v>
      </c>
      <c r="G39" s="17" t="s">
        <v>30</v>
      </c>
      <c r="H39" s="29">
        <f t="shared" si="17"/>
        <v>1</v>
      </c>
      <c r="I39" s="30">
        <f t="shared" si="18"/>
        <v>0.3333333333</v>
      </c>
      <c r="J39" s="20">
        <f t="shared" si="11"/>
        <v>1</v>
      </c>
      <c r="K39" s="22" t="s">
        <v>29</v>
      </c>
      <c r="L39" s="22" t="s">
        <v>29</v>
      </c>
      <c r="M39" s="22" t="s">
        <v>29</v>
      </c>
      <c r="N39" s="18">
        <f t="shared" si="12"/>
        <v>1</v>
      </c>
      <c r="O39" s="30">
        <f t="shared" si="19"/>
        <v>0.3333333333</v>
      </c>
      <c r="P39" s="20">
        <f t="shared" si="14"/>
        <v>0.3333333333</v>
      </c>
      <c r="Q39" s="31" t="s">
        <v>31</v>
      </c>
      <c r="R39" s="31" t="s">
        <v>29</v>
      </c>
      <c r="S39" s="31" t="s">
        <v>28</v>
      </c>
      <c r="T39" s="29">
        <f t="shared" si="20"/>
        <v>2</v>
      </c>
      <c r="U39" s="30">
        <f t="shared" si="21"/>
        <v>0.6666666667</v>
      </c>
      <c r="V39" s="32" t="s">
        <v>31</v>
      </c>
      <c r="W39" s="32" t="s">
        <v>29</v>
      </c>
      <c r="X39" s="32" t="s">
        <v>31</v>
      </c>
      <c r="Y39" s="13">
        <v>46131.0</v>
      </c>
      <c r="Z39" s="5"/>
      <c r="AA39" s="5"/>
      <c r="AB39" s="5"/>
    </row>
    <row r="40" ht="15.75" customHeight="1">
      <c r="A40" s="21">
        <v>422.0</v>
      </c>
      <c r="B40" s="21" t="s">
        <v>46</v>
      </c>
      <c r="C40" s="21" t="s">
        <v>36</v>
      </c>
      <c r="D40" s="21" t="s">
        <v>48</v>
      </c>
      <c r="E40" s="17" t="s">
        <v>30</v>
      </c>
      <c r="F40" s="17" t="s">
        <v>30</v>
      </c>
      <c r="G40" s="17" t="s">
        <v>30</v>
      </c>
      <c r="H40" s="29">
        <f t="shared" si="17"/>
        <v>0</v>
      </c>
      <c r="I40" s="30">
        <f t="shared" si="18"/>
        <v>0</v>
      </c>
      <c r="J40" s="20" t="str">
        <f t="shared" si="11"/>
        <v>XXX</v>
      </c>
      <c r="K40" s="16" t="s">
        <v>33</v>
      </c>
      <c r="L40" s="16" t="s">
        <v>28</v>
      </c>
      <c r="M40" s="16" t="s">
        <v>29</v>
      </c>
      <c r="N40" s="18">
        <f t="shared" si="12"/>
        <v>1</v>
      </c>
      <c r="O40" s="30">
        <f t="shared" si="19"/>
        <v>0.3333333333</v>
      </c>
      <c r="P40" s="20">
        <f t="shared" si="14"/>
        <v>0.3333333333</v>
      </c>
      <c r="Q40" s="31" t="s">
        <v>28</v>
      </c>
      <c r="R40" s="31" t="s">
        <v>28</v>
      </c>
      <c r="S40" s="31" t="s">
        <v>33</v>
      </c>
      <c r="T40" s="29">
        <f t="shared" si="20"/>
        <v>2</v>
      </c>
      <c r="U40" s="30">
        <f t="shared" si="21"/>
        <v>0.6666666667</v>
      </c>
      <c r="V40" s="32" t="s">
        <v>28</v>
      </c>
      <c r="W40" s="32" t="s">
        <v>28</v>
      </c>
      <c r="X40" s="32" t="s">
        <v>31</v>
      </c>
      <c r="Y40" s="24">
        <v>46131.0</v>
      </c>
      <c r="Z40" s="5"/>
      <c r="AA40" s="5"/>
      <c r="AB40" s="5"/>
    </row>
    <row r="41" ht="15.75" customHeight="1">
      <c r="A41" s="21">
        <v>423.0</v>
      </c>
      <c r="B41" s="21" t="s">
        <v>46</v>
      </c>
      <c r="C41" s="21" t="s">
        <v>36</v>
      </c>
      <c r="D41" s="21" t="s">
        <v>48</v>
      </c>
      <c r="E41" s="22" t="s">
        <v>28</v>
      </c>
      <c r="F41" s="17" t="s">
        <v>30</v>
      </c>
      <c r="G41" s="17" t="s">
        <v>30</v>
      </c>
      <c r="H41" s="29">
        <f t="shared" si="17"/>
        <v>1</v>
      </c>
      <c r="I41" s="30">
        <f t="shared" si="18"/>
        <v>0.3333333333</v>
      </c>
      <c r="J41" s="20">
        <f t="shared" si="11"/>
        <v>1</v>
      </c>
      <c r="K41" s="22" t="s">
        <v>28</v>
      </c>
      <c r="L41" s="22" t="s">
        <v>28</v>
      </c>
      <c r="M41" s="22" t="s">
        <v>29</v>
      </c>
      <c r="N41" s="18">
        <f t="shared" si="12"/>
        <v>3</v>
      </c>
      <c r="O41" s="30">
        <f t="shared" si="19"/>
        <v>1</v>
      </c>
      <c r="P41" s="20">
        <f t="shared" si="14"/>
        <v>1</v>
      </c>
      <c r="Q41" s="31" t="s">
        <v>28</v>
      </c>
      <c r="R41" s="31" t="s">
        <v>28</v>
      </c>
      <c r="S41" s="31" t="s">
        <v>29</v>
      </c>
      <c r="T41" s="29">
        <f t="shared" si="20"/>
        <v>3</v>
      </c>
      <c r="U41" s="30">
        <f t="shared" si="21"/>
        <v>1</v>
      </c>
      <c r="V41" s="32" t="s">
        <v>28</v>
      </c>
      <c r="W41" s="32" t="s">
        <v>28</v>
      </c>
      <c r="X41" s="32" t="s">
        <v>29</v>
      </c>
      <c r="Y41" s="13">
        <v>46131.0</v>
      </c>
      <c r="Z41" s="5"/>
      <c r="AA41" s="5"/>
      <c r="AB41" s="5"/>
    </row>
    <row r="42" ht="15.75" customHeight="1">
      <c r="A42" s="21">
        <v>521.0</v>
      </c>
      <c r="B42" s="21" t="s">
        <v>46</v>
      </c>
      <c r="C42" s="21" t="s">
        <v>41</v>
      </c>
      <c r="D42" s="21" t="s">
        <v>42</v>
      </c>
      <c r="E42" s="17" t="s">
        <v>30</v>
      </c>
      <c r="F42" s="17" t="s">
        <v>30</v>
      </c>
      <c r="G42" s="16" t="s">
        <v>28</v>
      </c>
      <c r="H42" s="29">
        <f t="shared" si="17"/>
        <v>0</v>
      </c>
      <c r="I42" s="30">
        <f t="shared" si="18"/>
        <v>0</v>
      </c>
      <c r="J42" s="20">
        <f t="shared" si="11"/>
        <v>0</v>
      </c>
      <c r="K42" s="16" t="s">
        <v>33</v>
      </c>
      <c r="L42" s="16" t="s">
        <v>28</v>
      </c>
      <c r="M42" s="16" t="s">
        <v>31</v>
      </c>
      <c r="N42" s="18">
        <f t="shared" si="12"/>
        <v>3</v>
      </c>
      <c r="O42" s="30">
        <f t="shared" si="19"/>
        <v>1</v>
      </c>
      <c r="P42" s="20">
        <f t="shared" si="14"/>
        <v>1</v>
      </c>
      <c r="Q42" s="31" t="s">
        <v>33</v>
      </c>
      <c r="R42" s="31" t="s">
        <v>29</v>
      </c>
      <c r="S42" s="31" t="s">
        <v>31</v>
      </c>
      <c r="T42" s="29">
        <f t="shared" si="20"/>
        <v>2</v>
      </c>
      <c r="U42" s="30">
        <f t="shared" si="21"/>
        <v>0.6666666667</v>
      </c>
      <c r="V42" s="32" t="s">
        <v>33</v>
      </c>
      <c r="W42" s="32" t="s">
        <v>28</v>
      </c>
      <c r="X42" s="32" t="s">
        <v>31</v>
      </c>
      <c r="Y42" s="24">
        <v>46131.0</v>
      </c>
      <c r="Z42" s="5"/>
      <c r="AA42" s="5"/>
      <c r="AB42" s="5"/>
    </row>
    <row r="43" ht="15.75" customHeight="1">
      <c r="A43" s="21">
        <v>522.0</v>
      </c>
      <c r="B43" s="21" t="s">
        <v>46</v>
      </c>
      <c r="C43" s="21" t="s">
        <v>41</v>
      </c>
      <c r="D43" s="21" t="s">
        <v>42</v>
      </c>
      <c r="E43" s="17" t="s">
        <v>30</v>
      </c>
      <c r="F43" s="17" t="s">
        <v>30</v>
      </c>
      <c r="G43" s="17" t="s">
        <v>30</v>
      </c>
      <c r="H43" s="29">
        <f t="shared" si="17"/>
        <v>0</v>
      </c>
      <c r="I43" s="30">
        <f t="shared" si="18"/>
        <v>0</v>
      </c>
      <c r="J43" s="20" t="str">
        <f t="shared" si="11"/>
        <v>XXX</v>
      </c>
      <c r="K43" s="22" t="s">
        <v>31</v>
      </c>
      <c r="L43" s="22" t="s">
        <v>28</v>
      </c>
      <c r="M43" s="22" t="s">
        <v>29</v>
      </c>
      <c r="N43" s="18">
        <f t="shared" si="12"/>
        <v>1</v>
      </c>
      <c r="O43" s="30">
        <f t="shared" si="19"/>
        <v>0.3333333333</v>
      </c>
      <c r="P43" s="20">
        <f t="shared" si="14"/>
        <v>0.3333333333</v>
      </c>
      <c r="Q43" s="31" t="s">
        <v>31</v>
      </c>
      <c r="R43" s="31" t="s">
        <v>28</v>
      </c>
      <c r="S43" s="31" t="s">
        <v>29</v>
      </c>
      <c r="T43" s="29">
        <f t="shared" si="20"/>
        <v>1</v>
      </c>
      <c r="U43" s="30">
        <f t="shared" si="21"/>
        <v>0.3333333333</v>
      </c>
      <c r="V43" s="32" t="s">
        <v>31</v>
      </c>
      <c r="W43" s="32" t="s">
        <v>29</v>
      </c>
      <c r="X43" s="32" t="s">
        <v>33</v>
      </c>
      <c r="Y43" s="13">
        <v>46131.0</v>
      </c>
      <c r="Z43" s="5"/>
      <c r="AA43" s="5"/>
      <c r="AB43" s="5"/>
    </row>
    <row r="44" ht="15.75" customHeight="1">
      <c r="A44" s="21">
        <v>523.0</v>
      </c>
      <c r="B44" s="21" t="s">
        <v>46</v>
      </c>
      <c r="C44" s="21" t="s">
        <v>41</v>
      </c>
      <c r="D44" s="21" t="s">
        <v>42</v>
      </c>
      <c r="E44" s="16" t="s">
        <v>29</v>
      </c>
      <c r="F44" s="16" t="s">
        <v>33</v>
      </c>
      <c r="G44" s="16" t="s">
        <v>28</v>
      </c>
      <c r="H44" s="29">
        <f t="shared" si="17"/>
        <v>3</v>
      </c>
      <c r="I44" s="30">
        <f t="shared" si="18"/>
        <v>1</v>
      </c>
      <c r="J44" s="20">
        <f t="shared" si="11"/>
        <v>1</v>
      </c>
      <c r="K44" s="16" t="s">
        <v>29</v>
      </c>
      <c r="L44" s="16" t="s">
        <v>33</v>
      </c>
      <c r="M44" s="16" t="s">
        <v>28</v>
      </c>
      <c r="N44" s="18">
        <f t="shared" si="12"/>
        <v>3</v>
      </c>
      <c r="O44" s="30">
        <f t="shared" si="19"/>
        <v>1</v>
      </c>
      <c r="P44" s="20">
        <f t="shared" si="14"/>
        <v>1</v>
      </c>
      <c r="Q44" s="31" t="s">
        <v>29</v>
      </c>
      <c r="R44" s="31" t="s">
        <v>33</v>
      </c>
      <c r="S44" s="31" t="s">
        <v>28</v>
      </c>
      <c r="T44" s="29">
        <f t="shared" si="20"/>
        <v>3</v>
      </c>
      <c r="U44" s="30">
        <f t="shared" si="21"/>
        <v>1</v>
      </c>
      <c r="V44" s="32" t="s">
        <v>29</v>
      </c>
      <c r="W44" s="32" t="s">
        <v>33</v>
      </c>
      <c r="X44" s="32" t="s">
        <v>28</v>
      </c>
      <c r="Y44" s="24">
        <v>46131.0</v>
      </c>
      <c r="Z44" s="5"/>
      <c r="AA44" s="5"/>
      <c r="AB44" s="5"/>
    </row>
    <row r="45" ht="15.75" customHeight="1">
      <c r="A45" s="21">
        <v>533.0</v>
      </c>
      <c r="B45" s="21" t="s">
        <v>46</v>
      </c>
      <c r="C45" s="21" t="s">
        <v>41</v>
      </c>
      <c r="D45" s="21" t="s">
        <v>43</v>
      </c>
      <c r="E45" s="17" t="s">
        <v>30</v>
      </c>
      <c r="F45" s="17" t="s">
        <v>30</v>
      </c>
      <c r="G45" s="17" t="s">
        <v>30</v>
      </c>
      <c r="H45" s="29">
        <f t="shared" si="17"/>
        <v>0</v>
      </c>
      <c r="I45" s="30">
        <f t="shared" si="18"/>
        <v>0</v>
      </c>
      <c r="J45" s="20" t="str">
        <f t="shared" si="11"/>
        <v>XXX</v>
      </c>
      <c r="K45" s="22" t="s">
        <v>33</v>
      </c>
      <c r="L45" s="22" t="s">
        <v>33</v>
      </c>
      <c r="M45" s="22" t="s">
        <v>29</v>
      </c>
      <c r="N45" s="18">
        <f t="shared" si="12"/>
        <v>0</v>
      </c>
      <c r="O45" s="30">
        <f t="shared" si="19"/>
        <v>0</v>
      </c>
      <c r="P45" s="20">
        <f t="shared" si="14"/>
        <v>0</v>
      </c>
      <c r="Q45" s="31" t="s">
        <v>33</v>
      </c>
      <c r="R45" s="31" t="s">
        <v>33</v>
      </c>
      <c r="S45" s="31" t="s">
        <v>33</v>
      </c>
      <c r="T45" s="29">
        <f t="shared" si="20"/>
        <v>1</v>
      </c>
      <c r="U45" s="30">
        <f t="shared" si="21"/>
        <v>0.3333333333</v>
      </c>
      <c r="V45" s="32" t="s">
        <v>31</v>
      </c>
      <c r="W45" s="32" t="s">
        <v>28</v>
      </c>
      <c r="X45" s="32" t="s">
        <v>33</v>
      </c>
      <c r="Y45" s="13">
        <v>46131.0</v>
      </c>
      <c r="Z45" s="5"/>
      <c r="AA45" s="5"/>
      <c r="AB45" s="5"/>
    </row>
    <row r="46" ht="15.75" customHeight="1">
      <c r="A46" s="21">
        <v>534.0</v>
      </c>
      <c r="B46" s="21" t="s">
        <v>46</v>
      </c>
      <c r="C46" s="21" t="s">
        <v>41</v>
      </c>
      <c r="D46" s="21" t="s">
        <v>43</v>
      </c>
      <c r="E46" s="34" t="s">
        <v>29</v>
      </c>
      <c r="F46" s="35" t="s">
        <v>30</v>
      </c>
      <c r="G46" s="34" t="s">
        <v>28</v>
      </c>
      <c r="H46" s="29">
        <f t="shared" si="17"/>
        <v>2</v>
      </c>
      <c r="I46" s="30">
        <f t="shared" si="18"/>
        <v>0.6666666667</v>
      </c>
      <c r="J46" s="20">
        <f t="shared" si="11"/>
        <v>1</v>
      </c>
      <c r="K46" s="34" t="s">
        <v>29</v>
      </c>
      <c r="L46" s="34" t="s">
        <v>33</v>
      </c>
      <c r="M46" s="34" t="s">
        <v>28</v>
      </c>
      <c r="N46" s="18">
        <f t="shared" si="12"/>
        <v>3</v>
      </c>
      <c r="O46" s="30">
        <f t="shared" si="19"/>
        <v>1</v>
      </c>
      <c r="P46" s="20">
        <f t="shared" si="14"/>
        <v>1</v>
      </c>
      <c r="Q46" s="31" t="s">
        <v>29</v>
      </c>
      <c r="R46" s="31" t="s">
        <v>33</v>
      </c>
      <c r="S46" s="31" t="s">
        <v>28</v>
      </c>
      <c r="T46" s="29">
        <f t="shared" si="20"/>
        <v>3</v>
      </c>
      <c r="U46" s="30">
        <f t="shared" si="21"/>
        <v>1</v>
      </c>
      <c r="V46" s="32" t="s">
        <v>29</v>
      </c>
      <c r="W46" s="32" t="s">
        <v>33</v>
      </c>
      <c r="X46" s="32" t="s">
        <v>28</v>
      </c>
      <c r="Y46" s="24">
        <v>46131.0</v>
      </c>
      <c r="Z46" s="5"/>
      <c r="AA46" s="5"/>
      <c r="AB46" s="5"/>
    </row>
    <row r="47" ht="15.75" customHeight="1">
      <c r="A47" s="21">
        <v>535.0</v>
      </c>
      <c r="B47" s="21" t="s">
        <v>46</v>
      </c>
      <c r="C47" s="21" t="s">
        <v>41</v>
      </c>
      <c r="D47" s="21" t="s">
        <v>43</v>
      </c>
      <c r="E47" s="36" t="s">
        <v>31</v>
      </c>
      <c r="F47" s="35" t="s">
        <v>30</v>
      </c>
      <c r="G47" s="35" t="s">
        <v>30</v>
      </c>
      <c r="H47" s="29">
        <f t="shared" si="17"/>
        <v>1</v>
      </c>
      <c r="I47" s="30">
        <f t="shared" si="18"/>
        <v>0.3333333333</v>
      </c>
      <c r="J47" s="20">
        <f t="shared" si="11"/>
        <v>1</v>
      </c>
      <c r="K47" s="36" t="s">
        <v>31</v>
      </c>
      <c r="L47" s="36" t="s">
        <v>31</v>
      </c>
      <c r="M47" s="36" t="s">
        <v>29</v>
      </c>
      <c r="N47" s="18">
        <f t="shared" si="12"/>
        <v>1</v>
      </c>
      <c r="O47" s="30">
        <f t="shared" si="19"/>
        <v>0.3333333333</v>
      </c>
      <c r="P47" s="20">
        <f t="shared" si="14"/>
        <v>0.3333333333</v>
      </c>
      <c r="Q47" s="31" t="s">
        <v>31</v>
      </c>
      <c r="R47" s="31" t="s">
        <v>29</v>
      </c>
      <c r="S47" s="31" t="s">
        <v>28</v>
      </c>
      <c r="T47" s="29">
        <f t="shared" si="20"/>
        <v>2</v>
      </c>
      <c r="U47" s="30">
        <f t="shared" si="21"/>
        <v>0.6666666667</v>
      </c>
      <c r="V47" s="32" t="s">
        <v>31</v>
      </c>
      <c r="W47" s="32" t="s">
        <v>29</v>
      </c>
      <c r="X47" s="32" t="s">
        <v>33</v>
      </c>
      <c r="Y47" s="13">
        <v>46131.0</v>
      </c>
      <c r="Z47" s="5"/>
      <c r="AA47" s="5"/>
      <c r="AB47" s="5"/>
    </row>
    <row r="48" ht="15.75" customHeight="1">
      <c r="A48" s="21">
        <v>551.0</v>
      </c>
      <c r="B48" s="21" t="s">
        <v>46</v>
      </c>
      <c r="C48" s="21" t="s">
        <v>41</v>
      </c>
      <c r="D48" s="21" t="s">
        <v>44</v>
      </c>
      <c r="E48" s="17" t="s">
        <v>30</v>
      </c>
      <c r="F48" s="17" t="s">
        <v>30</v>
      </c>
      <c r="G48" s="16" t="s">
        <v>29</v>
      </c>
      <c r="H48" s="29">
        <f t="shared" si="17"/>
        <v>0</v>
      </c>
      <c r="I48" s="30">
        <f t="shared" si="18"/>
        <v>0</v>
      </c>
      <c r="J48" s="20">
        <f t="shared" si="11"/>
        <v>0</v>
      </c>
      <c r="K48" s="16" t="s">
        <v>29</v>
      </c>
      <c r="L48" s="16" t="s">
        <v>33</v>
      </c>
      <c r="M48" s="16" t="s">
        <v>29</v>
      </c>
      <c r="N48" s="18">
        <f t="shared" si="12"/>
        <v>0</v>
      </c>
      <c r="O48" s="30">
        <f t="shared" si="19"/>
        <v>0</v>
      </c>
      <c r="P48" s="20">
        <f t="shared" si="14"/>
        <v>0</v>
      </c>
      <c r="Q48" s="31" t="s">
        <v>29</v>
      </c>
      <c r="R48" s="31" t="s">
        <v>33</v>
      </c>
      <c r="S48" s="31" t="s">
        <v>31</v>
      </c>
      <c r="T48" s="29">
        <f t="shared" si="20"/>
        <v>0</v>
      </c>
      <c r="U48" s="30">
        <f t="shared" si="21"/>
        <v>0</v>
      </c>
      <c r="V48" s="32" t="s">
        <v>31</v>
      </c>
      <c r="W48" s="32" t="s">
        <v>29</v>
      </c>
      <c r="X48" s="32" t="s">
        <v>33</v>
      </c>
      <c r="Y48" s="24">
        <v>46132.0</v>
      </c>
      <c r="Z48" s="5"/>
      <c r="AA48" s="5"/>
      <c r="AB48" s="5"/>
    </row>
    <row r="49" ht="15.75" customHeight="1">
      <c r="A49" s="21">
        <v>552.0</v>
      </c>
      <c r="B49" s="21" t="s">
        <v>46</v>
      </c>
      <c r="C49" s="21" t="s">
        <v>41</v>
      </c>
      <c r="D49" s="21" t="s">
        <v>44</v>
      </c>
      <c r="E49" s="17" t="s">
        <v>30</v>
      </c>
      <c r="F49" s="17" t="s">
        <v>30</v>
      </c>
      <c r="G49" s="17" t="s">
        <v>30</v>
      </c>
      <c r="H49" s="29">
        <f t="shared" si="17"/>
        <v>0</v>
      </c>
      <c r="I49" s="30">
        <f t="shared" si="18"/>
        <v>0</v>
      </c>
      <c r="J49" s="20" t="str">
        <f t="shared" si="11"/>
        <v>XXX</v>
      </c>
      <c r="K49" s="22" t="s">
        <v>29</v>
      </c>
      <c r="L49" s="22" t="s">
        <v>28</v>
      </c>
      <c r="M49" s="22" t="s">
        <v>29</v>
      </c>
      <c r="N49" s="18">
        <f t="shared" si="12"/>
        <v>1</v>
      </c>
      <c r="O49" s="30">
        <f t="shared" si="19"/>
        <v>0.3333333333</v>
      </c>
      <c r="P49" s="20">
        <f t="shared" si="14"/>
        <v>0.3333333333</v>
      </c>
      <c r="Q49" s="31" t="s">
        <v>28</v>
      </c>
      <c r="R49" s="31" t="s">
        <v>33</v>
      </c>
      <c r="S49" s="31" t="s">
        <v>28</v>
      </c>
      <c r="T49" s="29">
        <f t="shared" si="20"/>
        <v>1</v>
      </c>
      <c r="U49" s="30">
        <f t="shared" si="21"/>
        <v>0.3333333333</v>
      </c>
      <c r="V49" s="32" t="s">
        <v>28</v>
      </c>
      <c r="W49" s="32" t="s">
        <v>31</v>
      </c>
      <c r="X49" s="32" t="s">
        <v>29</v>
      </c>
      <c r="Y49" s="24">
        <v>46132.0</v>
      </c>
      <c r="Z49" s="5"/>
      <c r="AA49" s="5"/>
      <c r="AB49" s="5"/>
    </row>
    <row r="50" ht="15.75" customHeight="1">
      <c r="A50" s="21">
        <v>553.0</v>
      </c>
      <c r="B50" s="21" t="s">
        <v>46</v>
      </c>
      <c r="C50" s="21" t="s">
        <v>41</v>
      </c>
      <c r="D50" s="21" t="s">
        <v>44</v>
      </c>
      <c r="E50" s="17" t="s">
        <v>30</v>
      </c>
      <c r="F50" s="17" t="s">
        <v>30</v>
      </c>
      <c r="G50" s="17" t="s">
        <v>30</v>
      </c>
      <c r="H50" s="29">
        <f t="shared" si="17"/>
        <v>0</v>
      </c>
      <c r="I50" s="30">
        <f t="shared" si="18"/>
        <v>0</v>
      </c>
      <c r="J50" s="20" t="str">
        <f t="shared" si="11"/>
        <v>XXX</v>
      </c>
      <c r="K50" s="16" t="s">
        <v>29</v>
      </c>
      <c r="L50" s="16" t="s">
        <v>29</v>
      </c>
      <c r="M50" s="16" t="s">
        <v>29</v>
      </c>
      <c r="N50" s="18">
        <f t="shared" si="12"/>
        <v>0</v>
      </c>
      <c r="O50" s="30">
        <f t="shared" si="19"/>
        <v>0</v>
      </c>
      <c r="P50" s="20">
        <f t="shared" si="14"/>
        <v>0</v>
      </c>
      <c r="Q50" s="31" t="s">
        <v>33</v>
      </c>
      <c r="R50" s="31" t="s">
        <v>29</v>
      </c>
      <c r="S50" s="31" t="s">
        <v>33</v>
      </c>
      <c r="T50" s="29">
        <f t="shared" si="20"/>
        <v>1</v>
      </c>
      <c r="U50" s="30">
        <f t="shared" si="21"/>
        <v>0.3333333333</v>
      </c>
      <c r="V50" s="32" t="s">
        <v>33</v>
      </c>
      <c r="W50" s="32" t="s">
        <v>28</v>
      </c>
      <c r="X50" s="32" t="s">
        <v>31</v>
      </c>
      <c r="Y50" s="24">
        <v>46132.0</v>
      </c>
      <c r="Z50" s="5"/>
      <c r="AA50" s="5"/>
      <c r="AB50" s="5"/>
    </row>
    <row r="51" ht="15.75" customHeight="1">
      <c r="A51" s="21">
        <v>561.0</v>
      </c>
      <c r="B51" s="21" t="s">
        <v>46</v>
      </c>
      <c r="C51" s="21" t="s">
        <v>41</v>
      </c>
      <c r="D51" s="21" t="s">
        <v>45</v>
      </c>
      <c r="E51" s="22" t="s">
        <v>31</v>
      </c>
      <c r="F51" s="17" t="s">
        <v>30</v>
      </c>
      <c r="G51" s="17" t="s">
        <v>30</v>
      </c>
      <c r="H51" s="29">
        <f t="shared" si="17"/>
        <v>1</v>
      </c>
      <c r="I51" s="30">
        <f t="shared" si="18"/>
        <v>0.3333333333</v>
      </c>
      <c r="J51" s="20">
        <f t="shared" si="11"/>
        <v>1</v>
      </c>
      <c r="K51" s="22" t="s">
        <v>31</v>
      </c>
      <c r="L51" s="22" t="s">
        <v>29</v>
      </c>
      <c r="M51" s="22" t="s">
        <v>31</v>
      </c>
      <c r="N51" s="18">
        <f t="shared" si="12"/>
        <v>1</v>
      </c>
      <c r="O51" s="30">
        <f t="shared" si="19"/>
        <v>0.3333333333</v>
      </c>
      <c r="P51" s="20">
        <f t="shared" si="14"/>
        <v>0.3333333333</v>
      </c>
      <c r="Q51" s="31" t="s">
        <v>31</v>
      </c>
      <c r="R51" s="31" t="s">
        <v>33</v>
      </c>
      <c r="S51" s="31" t="s">
        <v>31</v>
      </c>
      <c r="T51" s="29">
        <f t="shared" si="20"/>
        <v>1</v>
      </c>
      <c r="U51" s="30">
        <f t="shared" si="21"/>
        <v>0.3333333333</v>
      </c>
      <c r="V51" s="32" t="s">
        <v>31</v>
      </c>
      <c r="W51" s="32" t="s">
        <v>31</v>
      </c>
      <c r="X51" s="32" t="s">
        <v>33</v>
      </c>
      <c r="Y51" s="24">
        <v>46132.0</v>
      </c>
      <c r="Z51" s="5"/>
      <c r="AA51" s="5"/>
      <c r="AB51" s="5"/>
    </row>
    <row r="52" ht="15.75" customHeight="1">
      <c r="A52" s="21">
        <v>562.0</v>
      </c>
      <c r="B52" s="21" t="s">
        <v>46</v>
      </c>
      <c r="C52" s="21" t="s">
        <v>41</v>
      </c>
      <c r="D52" s="21" t="s">
        <v>45</v>
      </c>
      <c r="E52" s="17" t="s">
        <v>30</v>
      </c>
      <c r="F52" s="17" t="s">
        <v>30</v>
      </c>
      <c r="G52" s="17" t="s">
        <v>30</v>
      </c>
      <c r="H52" s="29">
        <f t="shared" si="17"/>
        <v>0</v>
      </c>
      <c r="I52" s="30">
        <f t="shared" si="18"/>
        <v>0</v>
      </c>
      <c r="J52" s="20" t="str">
        <f t="shared" si="11"/>
        <v>XXX</v>
      </c>
      <c r="K52" s="16" t="s">
        <v>33</v>
      </c>
      <c r="L52" s="16" t="s">
        <v>28</v>
      </c>
      <c r="M52" s="16" t="s">
        <v>28</v>
      </c>
      <c r="N52" s="18">
        <f t="shared" si="12"/>
        <v>1</v>
      </c>
      <c r="O52" s="30">
        <f t="shared" si="19"/>
        <v>0.3333333333</v>
      </c>
      <c r="P52" s="20">
        <f t="shared" si="14"/>
        <v>0.3333333333</v>
      </c>
      <c r="Q52" s="31" t="s">
        <v>33</v>
      </c>
      <c r="R52" s="31" t="s">
        <v>28</v>
      </c>
      <c r="S52" s="31" t="s">
        <v>29</v>
      </c>
      <c r="T52" s="29">
        <f t="shared" si="20"/>
        <v>2</v>
      </c>
      <c r="U52" s="30">
        <f t="shared" si="21"/>
        <v>0.6666666667</v>
      </c>
      <c r="V52" s="32" t="s">
        <v>28</v>
      </c>
      <c r="W52" s="32" t="s">
        <v>28</v>
      </c>
      <c r="X52" s="32" t="s">
        <v>29</v>
      </c>
      <c r="Y52" s="24">
        <v>46132.0</v>
      </c>
      <c r="Z52" s="5"/>
      <c r="AA52" s="5"/>
      <c r="AB52" s="5"/>
    </row>
    <row r="53" ht="15.75" customHeight="1">
      <c r="A53" s="21">
        <v>564.0</v>
      </c>
      <c r="B53" s="21" t="s">
        <v>46</v>
      </c>
      <c r="C53" s="21" t="s">
        <v>41</v>
      </c>
      <c r="D53" s="21" t="s">
        <v>45</v>
      </c>
      <c r="E53" s="17" t="s">
        <v>30</v>
      </c>
      <c r="F53" s="17" t="s">
        <v>30</v>
      </c>
      <c r="G53" s="17" t="s">
        <v>30</v>
      </c>
      <c r="H53" s="29">
        <f t="shared" si="17"/>
        <v>0</v>
      </c>
      <c r="I53" s="30">
        <f t="shared" si="18"/>
        <v>0</v>
      </c>
      <c r="J53" s="20" t="str">
        <f t="shared" si="11"/>
        <v>XXX</v>
      </c>
      <c r="K53" s="22" t="s">
        <v>31</v>
      </c>
      <c r="L53" s="22" t="s">
        <v>33</v>
      </c>
      <c r="M53" s="22" t="s">
        <v>28</v>
      </c>
      <c r="N53" s="18">
        <f t="shared" si="12"/>
        <v>3</v>
      </c>
      <c r="O53" s="30">
        <f t="shared" si="19"/>
        <v>1</v>
      </c>
      <c r="P53" s="20">
        <f t="shared" si="14"/>
        <v>1</v>
      </c>
      <c r="Q53" s="31" t="s">
        <v>28</v>
      </c>
      <c r="R53" s="31" t="s">
        <v>31</v>
      </c>
      <c r="S53" s="31" t="s">
        <v>33</v>
      </c>
      <c r="T53" s="29">
        <f t="shared" si="20"/>
        <v>0</v>
      </c>
      <c r="U53" s="30">
        <f t="shared" si="21"/>
        <v>0</v>
      </c>
      <c r="V53" s="32" t="s">
        <v>31</v>
      </c>
      <c r="W53" s="32" t="s">
        <v>33</v>
      </c>
      <c r="X53" s="32" t="s">
        <v>28</v>
      </c>
      <c r="Y53" s="24">
        <v>46132.0</v>
      </c>
      <c r="Z53" s="5"/>
      <c r="AA53" s="5"/>
      <c r="AB53" s="5"/>
    </row>
    <row r="54" ht="15.75" customHeight="1">
      <c r="A54" s="21">
        <v>1.0</v>
      </c>
      <c r="B54" s="21" t="s">
        <v>49</v>
      </c>
      <c r="C54" s="21" t="s">
        <v>26</v>
      </c>
      <c r="D54" s="21" t="s">
        <v>27</v>
      </c>
      <c r="E54" s="17" t="s">
        <v>30</v>
      </c>
      <c r="F54" s="17" t="s">
        <v>30</v>
      </c>
      <c r="G54" s="17" t="s">
        <v>30</v>
      </c>
      <c r="H54" s="29">
        <f t="shared" si="17"/>
        <v>0</v>
      </c>
      <c r="I54" s="30">
        <f t="shared" si="18"/>
        <v>0</v>
      </c>
      <c r="J54" s="20" t="str">
        <f t="shared" si="11"/>
        <v>XXX</v>
      </c>
      <c r="K54" s="16" t="s">
        <v>31</v>
      </c>
      <c r="L54" s="16" t="s">
        <v>31</v>
      </c>
      <c r="M54" s="16" t="s">
        <v>29</v>
      </c>
      <c r="N54" s="18">
        <f t="shared" si="12"/>
        <v>2</v>
      </c>
      <c r="O54" s="30">
        <f t="shared" si="19"/>
        <v>0.6666666667</v>
      </c>
      <c r="P54" s="20">
        <f t="shared" si="14"/>
        <v>0.6666666667</v>
      </c>
      <c r="Q54" s="31" t="s">
        <v>33</v>
      </c>
      <c r="R54" s="31" t="s">
        <v>31</v>
      </c>
      <c r="S54" s="31" t="s">
        <v>33</v>
      </c>
      <c r="T54" s="29">
        <f t="shared" si="20"/>
        <v>1</v>
      </c>
      <c r="U54" s="30">
        <f t="shared" si="21"/>
        <v>0.3333333333</v>
      </c>
      <c r="V54" s="32" t="s">
        <v>28</v>
      </c>
      <c r="W54" s="32" t="s">
        <v>31</v>
      </c>
      <c r="X54" s="32" t="s">
        <v>29</v>
      </c>
      <c r="Y54" s="24">
        <v>46132.0</v>
      </c>
      <c r="Z54" s="5"/>
      <c r="AA54" s="5"/>
      <c r="AB54" s="5"/>
    </row>
    <row r="55" ht="15.75" customHeight="1">
      <c r="A55" s="21">
        <v>2.0</v>
      </c>
      <c r="B55" s="21" t="s">
        <v>49</v>
      </c>
      <c r="C55" s="21" t="s">
        <v>26</v>
      </c>
      <c r="D55" s="21" t="s">
        <v>27</v>
      </c>
      <c r="E55" s="17" t="s">
        <v>30</v>
      </c>
      <c r="F55" s="17" t="s">
        <v>30</v>
      </c>
      <c r="G55" s="17" t="s">
        <v>30</v>
      </c>
      <c r="H55" s="29">
        <f t="shared" si="17"/>
        <v>0</v>
      </c>
      <c r="I55" s="30">
        <f t="shared" si="18"/>
        <v>0</v>
      </c>
      <c r="J55" s="20" t="str">
        <f t="shared" si="11"/>
        <v>XXX</v>
      </c>
      <c r="K55" s="22" t="s">
        <v>28</v>
      </c>
      <c r="L55" s="22" t="s">
        <v>31</v>
      </c>
      <c r="M55" s="22" t="s">
        <v>28</v>
      </c>
      <c r="N55" s="18">
        <f t="shared" si="12"/>
        <v>1</v>
      </c>
      <c r="O55" s="30">
        <f t="shared" si="19"/>
        <v>0.3333333333</v>
      </c>
      <c r="P55" s="20">
        <f t="shared" si="14"/>
        <v>0.3333333333</v>
      </c>
      <c r="Q55" s="31" t="s">
        <v>28</v>
      </c>
      <c r="R55" s="31" t="s">
        <v>29</v>
      </c>
      <c r="S55" s="31" t="s">
        <v>28</v>
      </c>
      <c r="T55" s="29">
        <f t="shared" si="20"/>
        <v>2</v>
      </c>
      <c r="U55" s="30">
        <f t="shared" si="21"/>
        <v>0.6666666667</v>
      </c>
      <c r="V55" s="32" t="s">
        <v>28</v>
      </c>
      <c r="W55" s="32" t="s">
        <v>29</v>
      </c>
      <c r="X55" s="32" t="s">
        <v>33</v>
      </c>
      <c r="Y55" s="24">
        <v>46132.0</v>
      </c>
      <c r="Z55" s="5"/>
      <c r="AA55" s="5"/>
      <c r="AB55" s="5"/>
    </row>
    <row r="56" ht="15.75" customHeight="1">
      <c r="A56" s="21">
        <v>3.0</v>
      </c>
      <c r="B56" s="21" t="s">
        <v>49</v>
      </c>
      <c r="C56" s="21" t="s">
        <v>26</v>
      </c>
      <c r="D56" s="21" t="s">
        <v>27</v>
      </c>
      <c r="E56" s="17" t="s">
        <v>30</v>
      </c>
      <c r="F56" s="17" t="s">
        <v>30</v>
      </c>
      <c r="G56" s="17" t="s">
        <v>30</v>
      </c>
      <c r="H56" s="29">
        <f t="shared" si="17"/>
        <v>0</v>
      </c>
      <c r="I56" s="30">
        <f t="shared" si="18"/>
        <v>0</v>
      </c>
      <c r="J56" s="20" t="str">
        <f t="shared" si="11"/>
        <v>XXX</v>
      </c>
      <c r="K56" s="16" t="s">
        <v>28</v>
      </c>
      <c r="L56" s="16" t="s">
        <v>33</v>
      </c>
      <c r="M56" s="16" t="s">
        <v>29</v>
      </c>
      <c r="N56" s="18">
        <f t="shared" si="12"/>
        <v>1</v>
      </c>
      <c r="O56" s="30">
        <f t="shared" si="19"/>
        <v>0.3333333333</v>
      </c>
      <c r="P56" s="20">
        <f t="shared" si="14"/>
        <v>0.3333333333</v>
      </c>
      <c r="Q56" s="31" t="s">
        <v>33</v>
      </c>
      <c r="R56" s="31" t="s">
        <v>33</v>
      </c>
      <c r="S56" s="31" t="s">
        <v>29</v>
      </c>
      <c r="T56" s="29">
        <f t="shared" si="20"/>
        <v>2</v>
      </c>
      <c r="U56" s="30">
        <f t="shared" si="21"/>
        <v>0.6666666667</v>
      </c>
      <c r="V56" s="32" t="s">
        <v>33</v>
      </c>
      <c r="W56" s="32" t="s">
        <v>28</v>
      </c>
      <c r="X56" s="32" t="s">
        <v>29</v>
      </c>
      <c r="Y56" s="24">
        <v>46132.0</v>
      </c>
      <c r="Z56" s="5"/>
      <c r="AA56" s="5"/>
      <c r="AB56" s="5"/>
    </row>
    <row r="57" ht="15.75" customHeight="1">
      <c r="A57" s="21">
        <v>21.0</v>
      </c>
      <c r="B57" s="21" t="s">
        <v>49</v>
      </c>
      <c r="C57" s="21" t="s">
        <v>26</v>
      </c>
      <c r="D57" s="21" t="s">
        <v>32</v>
      </c>
      <c r="E57" s="22" t="s">
        <v>31</v>
      </c>
      <c r="F57" s="17" t="s">
        <v>30</v>
      </c>
      <c r="G57" s="17" t="s">
        <v>30</v>
      </c>
      <c r="H57" s="29">
        <f t="shared" si="17"/>
        <v>1</v>
      </c>
      <c r="I57" s="30">
        <f t="shared" si="18"/>
        <v>0.3333333333</v>
      </c>
      <c r="J57" s="20">
        <f t="shared" si="11"/>
        <v>1</v>
      </c>
      <c r="K57" s="22" t="s">
        <v>31</v>
      </c>
      <c r="L57" s="22" t="s">
        <v>33</v>
      </c>
      <c r="M57" s="22" t="s">
        <v>29</v>
      </c>
      <c r="N57" s="18">
        <f t="shared" si="12"/>
        <v>2</v>
      </c>
      <c r="O57" s="30">
        <f t="shared" si="19"/>
        <v>0.6666666667</v>
      </c>
      <c r="P57" s="20">
        <f t="shared" si="14"/>
        <v>0.6666666667</v>
      </c>
      <c r="Q57" s="31" t="s">
        <v>31</v>
      </c>
      <c r="R57" s="31" t="s">
        <v>33</v>
      </c>
      <c r="S57" s="31" t="s">
        <v>29</v>
      </c>
      <c r="T57" s="29">
        <f t="shared" si="20"/>
        <v>2</v>
      </c>
      <c r="U57" s="30">
        <f t="shared" si="21"/>
        <v>0.6666666667</v>
      </c>
      <c r="V57" s="32" t="s">
        <v>31</v>
      </c>
      <c r="W57" s="32" t="s">
        <v>33</v>
      </c>
      <c r="X57" s="32" t="s">
        <v>28</v>
      </c>
      <c r="Y57" s="24">
        <v>46132.0</v>
      </c>
      <c r="Z57" s="5"/>
      <c r="AA57" s="5"/>
      <c r="AB57" s="5"/>
    </row>
    <row r="58" ht="15.75" customHeight="1">
      <c r="A58" s="21">
        <v>22.0</v>
      </c>
      <c r="B58" s="21" t="s">
        <v>49</v>
      </c>
      <c r="C58" s="21" t="s">
        <v>26</v>
      </c>
      <c r="D58" s="21" t="s">
        <v>32</v>
      </c>
      <c r="E58" s="17" t="s">
        <v>30</v>
      </c>
      <c r="F58" s="17" t="s">
        <v>30</v>
      </c>
      <c r="G58" s="16" t="s">
        <v>29</v>
      </c>
      <c r="H58" s="29">
        <f t="shared" si="17"/>
        <v>1</v>
      </c>
      <c r="I58" s="30">
        <f t="shared" si="18"/>
        <v>0.3333333333</v>
      </c>
      <c r="J58" s="20">
        <f t="shared" si="11"/>
        <v>1</v>
      </c>
      <c r="K58" s="16" t="s">
        <v>29</v>
      </c>
      <c r="L58" s="16" t="s">
        <v>31</v>
      </c>
      <c r="M58" s="16" t="s">
        <v>29</v>
      </c>
      <c r="N58" s="18">
        <f t="shared" si="12"/>
        <v>2</v>
      </c>
      <c r="O58" s="30">
        <f t="shared" si="19"/>
        <v>0.6666666667</v>
      </c>
      <c r="P58" s="20">
        <f t="shared" si="14"/>
        <v>0.6666666667</v>
      </c>
      <c r="Q58" s="31" t="s">
        <v>33</v>
      </c>
      <c r="R58" s="31" t="s">
        <v>31</v>
      </c>
      <c r="S58" s="31" t="s">
        <v>29</v>
      </c>
      <c r="T58" s="29">
        <f t="shared" si="20"/>
        <v>3</v>
      </c>
      <c r="U58" s="30">
        <f t="shared" si="21"/>
        <v>1</v>
      </c>
      <c r="V58" s="32" t="s">
        <v>33</v>
      </c>
      <c r="W58" s="32" t="s">
        <v>31</v>
      </c>
      <c r="X58" s="32" t="s">
        <v>29</v>
      </c>
      <c r="Y58" s="24">
        <v>46132.0</v>
      </c>
      <c r="Z58" s="5"/>
      <c r="AA58" s="5"/>
      <c r="AB58" s="5"/>
    </row>
    <row r="59" ht="15.75" customHeight="1">
      <c r="A59" s="21">
        <v>23.0</v>
      </c>
      <c r="B59" s="21" t="s">
        <v>49</v>
      </c>
      <c r="C59" s="21" t="s">
        <v>26</v>
      </c>
      <c r="D59" s="21" t="s">
        <v>32</v>
      </c>
      <c r="E59" s="22" t="s">
        <v>28</v>
      </c>
      <c r="F59" s="17" t="s">
        <v>30</v>
      </c>
      <c r="G59" s="17" t="s">
        <v>30</v>
      </c>
      <c r="H59" s="29">
        <f t="shared" si="17"/>
        <v>1</v>
      </c>
      <c r="I59" s="30">
        <f t="shared" si="18"/>
        <v>0.3333333333</v>
      </c>
      <c r="J59" s="20">
        <f t="shared" si="11"/>
        <v>1</v>
      </c>
      <c r="K59" s="22" t="s">
        <v>28</v>
      </c>
      <c r="L59" s="22" t="s">
        <v>31</v>
      </c>
      <c r="M59" s="22" t="s">
        <v>31</v>
      </c>
      <c r="N59" s="18">
        <f t="shared" si="12"/>
        <v>3</v>
      </c>
      <c r="O59" s="30">
        <f t="shared" si="19"/>
        <v>1</v>
      </c>
      <c r="P59" s="20">
        <f t="shared" si="14"/>
        <v>1</v>
      </c>
      <c r="Q59" s="31" t="s">
        <v>28</v>
      </c>
      <c r="R59" s="31" t="s">
        <v>31</v>
      </c>
      <c r="S59" s="31" t="s">
        <v>31</v>
      </c>
      <c r="T59" s="29">
        <f t="shared" si="20"/>
        <v>3</v>
      </c>
      <c r="U59" s="30">
        <f t="shared" si="21"/>
        <v>1</v>
      </c>
      <c r="V59" s="32" t="s">
        <v>28</v>
      </c>
      <c r="W59" s="32" t="s">
        <v>31</v>
      </c>
      <c r="X59" s="32" t="s">
        <v>31</v>
      </c>
      <c r="Y59" s="24">
        <v>46132.0</v>
      </c>
      <c r="Z59" s="5"/>
      <c r="AA59" s="5"/>
      <c r="AB59" s="5"/>
    </row>
    <row r="60" ht="15.75" customHeight="1">
      <c r="A60" s="21">
        <v>41.0</v>
      </c>
      <c r="B60" s="21" t="s">
        <v>49</v>
      </c>
      <c r="C60" s="21" t="s">
        <v>26</v>
      </c>
      <c r="D60" s="21" t="s">
        <v>34</v>
      </c>
      <c r="E60" s="17" t="s">
        <v>30</v>
      </c>
      <c r="F60" s="17" t="s">
        <v>30</v>
      </c>
      <c r="G60" s="16" t="s">
        <v>28</v>
      </c>
      <c r="H60" s="29">
        <f t="shared" si="17"/>
        <v>0</v>
      </c>
      <c r="I60" s="30">
        <f t="shared" si="18"/>
        <v>0</v>
      </c>
      <c r="J60" s="20">
        <f t="shared" si="11"/>
        <v>0</v>
      </c>
      <c r="K60" s="16" t="s">
        <v>33</v>
      </c>
      <c r="L60" s="16" t="s">
        <v>28</v>
      </c>
      <c r="M60" s="16" t="s">
        <v>28</v>
      </c>
      <c r="N60" s="18">
        <f t="shared" si="12"/>
        <v>0</v>
      </c>
      <c r="O60" s="30">
        <f t="shared" si="19"/>
        <v>0</v>
      </c>
      <c r="P60" s="20">
        <f t="shared" si="14"/>
        <v>0</v>
      </c>
      <c r="Q60" s="31" t="s">
        <v>28</v>
      </c>
      <c r="R60" s="31" t="s">
        <v>29</v>
      </c>
      <c r="S60" s="31" t="s">
        <v>33</v>
      </c>
      <c r="T60" s="29">
        <f t="shared" si="20"/>
        <v>0</v>
      </c>
      <c r="U60" s="30">
        <f t="shared" si="21"/>
        <v>0</v>
      </c>
      <c r="V60" s="32" t="s">
        <v>31</v>
      </c>
      <c r="W60" s="32" t="s">
        <v>33</v>
      </c>
      <c r="X60" s="32" t="s">
        <v>29</v>
      </c>
      <c r="Y60" s="24">
        <v>46132.0</v>
      </c>
      <c r="Z60" s="5"/>
      <c r="AA60" s="5"/>
      <c r="AB60" s="5"/>
    </row>
    <row r="61" ht="15.75" customHeight="1">
      <c r="A61" s="21">
        <v>42.0</v>
      </c>
      <c r="B61" s="21" t="s">
        <v>49</v>
      </c>
      <c r="C61" s="21" t="s">
        <v>26</v>
      </c>
      <c r="D61" s="21" t="s">
        <v>34</v>
      </c>
      <c r="E61" s="17" t="s">
        <v>30</v>
      </c>
      <c r="F61" s="22" t="s">
        <v>28</v>
      </c>
      <c r="G61" s="22" t="s">
        <v>31</v>
      </c>
      <c r="H61" s="29">
        <f t="shared" si="17"/>
        <v>2</v>
      </c>
      <c r="I61" s="30">
        <f t="shared" si="18"/>
        <v>0.6666666667</v>
      </c>
      <c r="J61" s="20">
        <f t="shared" si="11"/>
        <v>1</v>
      </c>
      <c r="K61" s="22" t="s">
        <v>33</v>
      </c>
      <c r="L61" s="22" t="s">
        <v>28</v>
      </c>
      <c r="M61" s="22" t="s">
        <v>31</v>
      </c>
      <c r="N61" s="18">
        <f t="shared" si="12"/>
        <v>3</v>
      </c>
      <c r="O61" s="30">
        <f t="shared" si="19"/>
        <v>1</v>
      </c>
      <c r="P61" s="20">
        <f t="shared" si="14"/>
        <v>1</v>
      </c>
      <c r="Q61" s="31" t="s">
        <v>31</v>
      </c>
      <c r="R61" s="31" t="s">
        <v>28</v>
      </c>
      <c r="S61" s="31" t="s">
        <v>31</v>
      </c>
      <c r="T61" s="29">
        <f t="shared" si="20"/>
        <v>2</v>
      </c>
      <c r="U61" s="30">
        <f t="shared" si="21"/>
        <v>0.6666666667</v>
      </c>
      <c r="V61" s="32" t="s">
        <v>33</v>
      </c>
      <c r="W61" s="32" t="s">
        <v>28</v>
      </c>
      <c r="X61" s="32" t="s">
        <v>31</v>
      </c>
      <c r="Y61" s="24">
        <v>46132.0</v>
      </c>
      <c r="Z61" s="5"/>
      <c r="AA61" s="5"/>
      <c r="AB61" s="5"/>
    </row>
    <row r="62" ht="15.75" customHeight="1">
      <c r="A62" s="21">
        <v>43.0</v>
      </c>
      <c r="B62" s="21" t="s">
        <v>49</v>
      </c>
      <c r="C62" s="21" t="s">
        <v>26</v>
      </c>
      <c r="D62" s="21" t="s">
        <v>34</v>
      </c>
      <c r="E62" s="17" t="s">
        <v>30</v>
      </c>
      <c r="F62" s="17" t="s">
        <v>30</v>
      </c>
      <c r="G62" s="16" t="s">
        <v>33</v>
      </c>
      <c r="H62" s="29">
        <f t="shared" si="17"/>
        <v>1</v>
      </c>
      <c r="I62" s="30">
        <f t="shared" si="18"/>
        <v>0.3333333333</v>
      </c>
      <c r="J62" s="20">
        <f t="shared" si="11"/>
        <v>1</v>
      </c>
      <c r="K62" s="16" t="s">
        <v>29</v>
      </c>
      <c r="L62" s="16" t="s">
        <v>31</v>
      </c>
      <c r="M62" s="16" t="s">
        <v>33</v>
      </c>
      <c r="N62" s="18">
        <f t="shared" si="12"/>
        <v>2</v>
      </c>
      <c r="O62" s="30">
        <f t="shared" si="19"/>
        <v>0.6666666667</v>
      </c>
      <c r="P62" s="20">
        <f t="shared" si="14"/>
        <v>0.6666666667</v>
      </c>
      <c r="Q62" s="31" t="s">
        <v>29</v>
      </c>
      <c r="R62" s="31" t="s">
        <v>28</v>
      </c>
      <c r="S62" s="31" t="s">
        <v>31</v>
      </c>
      <c r="T62" s="29">
        <f t="shared" si="20"/>
        <v>2</v>
      </c>
      <c r="U62" s="30">
        <f t="shared" si="21"/>
        <v>0.6666666667</v>
      </c>
      <c r="V62" s="32" t="s">
        <v>29</v>
      </c>
      <c r="W62" s="32" t="s">
        <v>28</v>
      </c>
      <c r="X62" s="32" t="s">
        <v>33</v>
      </c>
      <c r="Y62" s="24">
        <v>46132.0</v>
      </c>
      <c r="Z62" s="5"/>
      <c r="AA62" s="5"/>
      <c r="AB62" s="5"/>
    </row>
    <row r="63" ht="15.75" customHeight="1">
      <c r="A63" s="21">
        <v>81.0</v>
      </c>
      <c r="B63" s="21" t="s">
        <v>49</v>
      </c>
      <c r="C63" s="21" t="s">
        <v>26</v>
      </c>
      <c r="D63" s="21" t="s">
        <v>50</v>
      </c>
      <c r="E63" s="17" t="s">
        <v>30</v>
      </c>
      <c r="F63" s="17" t="s">
        <v>30</v>
      </c>
      <c r="G63" s="22" t="s">
        <v>31</v>
      </c>
      <c r="H63" s="29">
        <f t="shared" si="17"/>
        <v>1</v>
      </c>
      <c r="I63" s="30">
        <f t="shared" si="18"/>
        <v>0.3333333333</v>
      </c>
      <c r="J63" s="20">
        <f t="shared" si="11"/>
        <v>1</v>
      </c>
      <c r="K63" s="22" t="s">
        <v>33</v>
      </c>
      <c r="L63" s="22" t="s">
        <v>33</v>
      </c>
      <c r="M63" s="22" t="s">
        <v>31</v>
      </c>
      <c r="N63" s="18">
        <f t="shared" si="12"/>
        <v>3</v>
      </c>
      <c r="O63" s="30">
        <f t="shared" si="19"/>
        <v>1</v>
      </c>
      <c r="P63" s="20">
        <f t="shared" si="14"/>
        <v>1</v>
      </c>
      <c r="Q63" s="31" t="s">
        <v>33</v>
      </c>
      <c r="R63" s="31" t="s">
        <v>33</v>
      </c>
      <c r="S63" s="31" t="s">
        <v>31</v>
      </c>
      <c r="T63" s="29">
        <f t="shared" si="20"/>
        <v>3</v>
      </c>
      <c r="U63" s="30">
        <f t="shared" si="21"/>
        <v>1</v>
      </c>
      <c r="V63" s="32" t="s">
        <v>33</v>
      </c>
      <c r="W63" s="32" t="s">
        <v>33</v>
      </c>
      <c r="X63" s="32" t="s">
        <v>31</v>
      </c>
      <c r="Y63" s="24">
        <v>46132.0</v>
      </c>
      <c r="Z63" s="5"/>
      <c r="AA63" s="5"/>
      <c r="AB63" s="5"/>
    </row>
    <row r="64" ht="15.75" customHeight="1">
      <c r="A64" s="21">
        <v>82.0</v>
      </c>
      <c r="B64" s="21" t="s">
        <v>49</v>
      </c>
      <c r="C64" s="21" t="s">
        <v>26</v>
      </c>
      <c r="D64" s="21" t="s">
        <v>50</v>
      </c>
      <c r="E64" s="17" t="s">
        <v>30</v>
      </c>
      <c r="F64" s="17" t="s">
        <v>30</v>
      </c>
      <c r="G64" s="17" t="s">
        <v>30</v>
      </c>
      <c r="H64" s="29">
        <f t="shared" si="17"/>
        <v>0</v>
      </c>
      <c r="I64" s="30">
        <f t="shared" si="18"/>
        <v>0</v>
      </c>
      <c r="J64" s="20" t="str">
        <f t="shared" si="11"/>
        <v>XXX</v>
      </c>
      <c r="K64" s="16" t="s">
        <v>33</v>
      </c>
      <c r="L64" s="16" t="s">
        <v>33</v>
      </c>
      <c r="M64" s="16" t="s">
        <v>31</v>
      </c>
      <c r="N64" s="18">
        <f t="shared" si="12"/>
        <v>3</v>
      </c>
      <c r="O64" s="30">
        <f t="shared" si="19"/>
        <v>1</v>
      </c>
      <c r="P64" s="20">
        <f t="shared" si="14"/>
        <v>1</v>
      </c>
      <c r="Q64" s="31" t="s">
        <v>31</v>
      </c>
      <c r="R64" s="31" t="s">
        <v>33</v>
      </c>
      <c r="S64" s="31" t="s">
        <v>31</v>
      </c>
      <c r="T64" s="29">
        <f t="shared" si="20"/>
        <v>2</v>
      </c>
      <c r="U64" s="30">
        <f t="shared" si="21"/>
        <v>0.6666666667</v>
      </c>
      <c r="V64" s="32" t="s">
        <v>33</v>
      </c>
      <c r="W64" s="32" t="s">
        <v>33</v>
      </c>
      <c r="X64" s="32" t="s">
        <v>31</v>
      </c>
      <c r="Y64" s="24">
        <v>46132.0</v>
      </c>
      <c r="Z64" s="5"/>
      <c r="AA64" s="5"/>
      <c r="AB64" s="5"/>
    </row>
    <row r="65" ht="15.75" customHeight="1">
      <c r="A65" s="21">
        <v>85.0</v>
      </c>
      <c r="B65" s="21" t="s">
        <v>49</v>
      </c>
      <c r="C65" s="21" t="s">
        <v>26</v>
      </c>
      <c r="D65" s="21" t="s">
        <v>50</v>
      </c>
      <c r="E65" s="17" t="s">
        <v>30</v>
      </c>
      <c r="F65" s="17" t="s">
        <v>30</v>
      </c>
      <c r="G65" s="17" t="s">
        <v>30</v>
      </c>
      <c r="H65" s="29">
        <f t="shared" si="17"/>
        <v>0</v>
      </c>
      <c r="I65" s="30">
        <f t="shared" si="18"/>
        <v>0</v>
      </c>
      <c r="J65" s="20" t="str">
        <f t="shared" si="11"/>
        <v>XXX</v>
      </c>
      <c r="K65" s="22" t="s">
        <v>31</v>
      </c>
      <c r="L65" s="22" t="s">
        <v>33</v>
      </c>
      <c r="M65" s="22" t="s">
        <v>31</v>
      </c>
      <c r="N65" s="18">
        <f t="shared" si="12"/>
        <v>1</v>
      </c>
      <c r="O65" s="30">
        <f t="shared" si="19"/>
        <v>0.3333333333</v>
      </c>
      <c r="P65" s="20">
        <f t="shared" si="14"/>
        <v>0.3333333333</v>
      </c>
      <c r="Q65" s="31" t="s">
        <v>31</v>
      </c>
      <c r="R65" s="31" t="s">
        <v>33</v>
      </c>
      <c r="S65" s="31" t="s">
        <v>28</v>
      </c>
      <c r="T65" s="29">
        <f t="shared" si="20"/>
        <v>1</v>
      </c>
      <c r="U65" s="30">
        <f t="shared" si="21"/>
        <v>0.3333333333</v>
      </c>
      <c r="V65" s="32" t="s">
        <v>33</v>
      </c>
      <c r="W65" s="32" t="s">
        <v>33</v>
      </c>
      <c r="X65" s="32" t="s">
        <v>29</v>
      </c>
      <c r="Y65" s="24">
        <v>46132.0</v>
      </c>
      <c r="Z65" s="5"/>
      <c r="AA65" s="5"/>
      <c r="AB65" s="5"/>
    </row>
    <row r="66" ht="15.75" customHeight="1">
      <c r="A66" s="21">
        <v>91.0</v>
      </c>
      <c r="B66" s="21" t="s">
        <v>49</v>
      </c>
      <c r="C66" s="21" t="s">
        <v>36</v>
      </c>
      <c r="D66" s="21" t="s">
        <v>37</v>
      </c>
      <c r="E66" s="17" t="s">
        <v>30</v>
      </c>
      <c r="F66" s="17" t="s">
        <v>30</v>
      </c>
      <c r="G66" s="17" t="s">
        <v>30</v>
      </c>
      <c r="H66" s="29">
        <f t="shared" si="17"/>
        <v>0</v>
      </c>
      <c r="I66" s="30">
        <f t="shared" si="18"/>
        <v>0</v>
      </c>
      <c r="J66" s="20" t="str">
        <f t="shared" si="11"/>
        <v>XXX</v>
      </c>
      <c r="K66" s="16" t="s">
        <v>28</v>
      </c>
      <c r="L66" s="16" t="s">
        <v>29</v>
      </c>
      <c r="M66" s="16" t="s">
        <v>28</v>
      </c>
      <c r="N66" s="18">
        <f t="shared" si="12"/>
        <v>0</v>
      </c>
      <c r="O66" s="30">
        <f t="shared" si="19"/>
        <v>0</v>
      </c>
      <c r="P66" s="20">
        <f t="shared" si="14"/>
        <v>0</v>
      </c>
      <c r="Q66" s="31" t="s">
        <v>29</v>
      </c>
      <c r="R66" s="31" t="s">
        <v>31</v>
      </c>
      <c r="S66" s="31" t="s">
        <v>33</v>
      </c>
      <c r="T66" s="29">
        <f t="shared" si="20"/>
        <v>2</v>
      </c>
      <c r="U66" s="30">
        <f t="shared" si="21"/>
        <v>0.6666666667</v>
      </c>
      <c r="V66" s="32" t="s">
        <v>29</v>
      </c>
      <c r="W66" s="32" t="s">
        <v>33</v>
      </c>
      <c r="X66" s="32" t="s">
        <v>33</v>
      </c>
      <c r="Y66" s="24">
        <v>46132.0</v>
      </c>
      <c r="Z66" s="5"/>
      <c r="AA66" s="5"/>
      <c r="AB66" s="5"/>
    </row>
    <row r="67" ht="15.75" customHeight="1">
      <c r="A67" s="21">
        <v>92.0</v>
      </c>
      <c r="B67" s="21" t="s">
        <v>49</v>
      </c>
      <c r="C67" s="21" t="s">
        <v>36</v>
      </c>
      <c r="D67" s="21" t="s">
        <v>37</v>
      </c>
      <c r="E67" s="17" t="s">
        <v>30</v>
      </c>
      <c r="F67" s="17" t="s">
        <v>30</v>
      </c>
      <c r="G67" s="17" t="s">
        <v>30</v>
      </c>
      <c r="H67" s="29">
        <f t="shared" si="17"/>
        <v>0</v>
      </c>
      <c r="I67" s="30">
        <f t="shared" si="18"/>
        <v>0</v>
      </c>
      <c r="J67" s="20" t="str">
        <f t="shared" si="11"/>
        <v>XXX</v>
      </c>
      <c r="K67" s="22" t="s">
        <v>29</v>
      </c>
      <c r="L67" s="22" t="s">
        <v>28</v>
      </c>
      <c r="M67" s="22" t="s">
        <v>33</v>
      </c>
      <c r="N67" s="18">
        <f t="shared" si="12"/>
        <v>0</v>
      </c>
      <c r="O67" s="30">
        <f t="shared" si="19"/>
        <v>0</v>
      </c>
      <c r="P67" s="20">
        <f t="shared" si="14"/>
        <v>0</v>
      </c>
      <c r="Q67" s="31" t="s">
        <v>28</v>
      </c>
      <c r="R67" s="31" t="s">
        <v>29</v>
      </c>
      <c r="S67" s="31" t="s">
        <v>28</v>
      </c>
      <c r="T67" s="29">
        <f t="shared" si="20"/>
        <v>3</v>
      </c>
      <c r="U67" s="30">
        <f t="shared" si="21"/>
        <v>1</v>
      </c>
      <c r="V67" s="32" t="s">
        <v>28</v>
      </c>
      <c r="W67" s="32" t="s">
        <v>29</v>
      </c>
      <c r="X67" s="32" t="s">
        <v>28</v>
      </c>
      <c r="Y67" s="24">
        <v>46132.0</v>
      </c>
      <c r="Z67" s="5"/>
      <c r="AA67" s="5"/>
      <c r="AB67" s="5"/>
    </row>
    <row r="68" ht="15.75" customHeight="1">
      <c r="A68" s="21">
        <v>93.0</v>
      </c>
      <c r="B68" s="21" t="s">
        <v>49</v>
      </c>
      <c r="C68" s="21" t="s">
        <v>36</v>
      </c>
      <c r="D68" s="21" t="s">
        <v>37</v>
      </c>
      <c r="E68" s="16" t="s">
        <v>29</v>
      </c>
      <c r="F68" s="17" t="s">
        <v>30</v>
      </c>
      <c r="G68" s="16" t="s">
        <v>33</v>
      </c>
      <c r="H68" s="29">
        <f t="shared" si="17"/>
        <v>1</v>
      </c>
      <c r="I68" s="30">
        <f t="shared" si="18"/>
        <v>0.3333333333</v>
      </c>
      <c r="J68" s="20">
        <f t="shared" si="11"/>
        <v>0.5</v>
      </c>
      <c r="K68" s="16" t="s">
        <v>29</v>
      </c>
      <c r="L68" s="16" t="s">
        <v>28</v>
      </c>
      <c r="M68" s="16" t="s">
        <v>33</v>
      </c>
      <c r="N68" s="18">
        <f t="shared" si="12"/>
        <v>1</v>
      </c>
      <c r="O68" s="30">
        <f t="shared" si="19"/>
        <v>0.3333333333</v>
      </c>
      <c r="P68" s="20">
        <f t="shared" si="14"/>
        <v>0.3333333333</v>
      </c>
      <c r="Q68" s="31" t="s">
        <v>29</v>
      </c>
      <c r="R68" s="31" t="s">
        <v>33</v>
      </c>
      <c r="S68" s="31" t="s">
        <v>33</v>
      </c>
      <c r="T68" s="29">
        <f t="shared" si="20"/>
        <v>2</v>
      </c>
      <c r="U68" s="30">
        <f t="shared" si="21"/>
        <v>0.6666666667</v>
      </c>
      <c r="V68" s="32" t="s">
        <v>29</v>
      </c>
      <c r="W68" s="32" t="s">
        <v>33</v>
      </c>
      <c r="X68" s="32" t="s">
        <v>28</v>
      </c>
      <c r="Y68" s="24">
        <v>46132.0</v>
      </c>
      <c r="Z68" s="5"/>
      <c r="AA68" s="5"/>
      <c r="AB68" s="5"/>
    </row>
    <row r="69" ht="15.75" customHeight="1">
      <c r="A69" s="21">
        <v>101.0</v>
      </c>
      <c r="B69" s="21" t="s">
        <v>49</v>
      </c>
      <c r="C69" s="21" t="s">
        <v>36</v>
      </c>
      <c r="D69" s="21" t="s">
        <v>38</v>
      </c>
      <c r="E69" s="17" t="s">
        <v>30</v>
      </c>
      <c r="F69" s="17" t="s">
        <v>30</v>
      </c>
      <c r="G69" s="17" t="s">
        <v>30</v>
      </c>
      <c r="H69" s="29">
        <f t="shared" si="17"/>
        <v>0</v>
      </c>
      <c r="I69" s="30">
        <f t="shared" si="18"/>
        <v>0</v>
      </c>
      <c r="J69" s="20" t="str">
        <f t="shared" si="11"/>
        <v>XXX</v>
      </c>
      <c r="K69" s="22" t="s">
        <v>33</v>
      </c>
      <c r="L69" s="22" t="s">
        <v>31</v>
      </c>
      <c r="M69" s="22" t="s">
        <v>33</v>
      </c>
      <c r="N69" s="18">
        <f t="shared" si="12"/>
        <v>1</v>
      </c>
      <c r="O69" s="30">
        <f t="shared" si="19"/>
        <v>0.3333333333</v>
      </c>
      <c r="P69" s="20">
        <f t="shared" si="14"/>
        <v>0.3333333333</v>
      </c>
      <c r="Q69" s="31" t="s">
        <v>33</v>
      </c>
      <c r="R69" s="31" t="s">
        <v>29</v>
      </c>
      <c r="S69" s="31" t="s">
        <v>31</v>
      </c>
      <c r="T69" s="29">
        <f t="shared" si="20"/>
        <v>1</v>
      </c>
      <c r="U69" s="30">
        <f t="shared" si="21"/>
        <v>0.3333333333</v>
      </c>
      <c r="V69" s="32" t="s">
        <v>31</v>
      </c>
      <c r="W69" s="32" t="s">
        <v>29</v>
      </c>
      <c r="X69" s="32" t="s">
        <v>33</v>
      </c>
      <c r="Y69" s="24">
        <v>46132.0</v>
      </c>
      <c r="Z69" s="5"/>
      <c r="AA69" s="5"/>
      <c r="AB69" s="5"/>
    </row>
    <row r="70" ht="15.75" customHeight="1">
      <c r="A70" s="21">
        <v>103.0</v>
      </c>
      <c r="B70" s="21" t="s">
        <v>49</v>
      </c>
      <c r="C70" s="21" t="s">
        <v>36</v>
      </c>
      <c r="D70" s="21" t="s">
        <v>38</v>
      </c>
      <c r="E70" s="17" t="s">
        <v>30</v>
      </c>
      <c r="F70" s="17" t="s">
        <v>30</v>
      </c>
      <c r="G70" s="16" t="s">
        <v>29</v>
      </c>
      <c r="H70" s="29">
        <f t="shared" si="17"/>
        <v>0</v>
      </c>
      <c r="I70" s="30">
        <f t="shared" si="18"/>
        <v>0</v>
      </c>
      <c r="J70" s="20">
        <f t="shared" si="11"/>
        <v>0</v>
      </c>
      <c r="K70" s="16" t="s">
        <v>33</v>
      </c>
      <c r="L70" s="16" t="s">
        <v>33</v>
      </c>
      <c r="M70" s="16" t="s">
        <v>29</v>
      </c>
      <c r="N70" s="18">
        <f t="shared" si="12"/>
        <v>0</v>
      </c>
      <c r="O70" s="30">
        <f t="shared" si="19"/>
        <v>0</v>
      </c>
      <c r="P70" s="20">
        <f t="shared" si="14"/>
        <v>0</v>
      </c>
      <c r="Q70" s="31" t="s">
        <v>31</v>
      </c>
      <c r="R70" s="31" t="s">
        <v>28</v>
      </c>
      <c r="S70" s="31" t="s">
        <v>31</v>
      </c>
      <c r="T70" s="29">
        <f t="shared" si="20"/>
        <v>3</v>
      </c>
      <c r="U70" s="30">
        <f t="shared" si="21"/>
        <v>1</v>
      </c>
      <c r="V70" s="32" t="s">
        <v>31</v>
      </c>
      <c r="W70" s="32" t="s">
        <v>28</v>
      </c>
      <c r="X70" s="32" t="s">
        <v>31</v>
      </c>
      <c r="Y70" s="24">
        <v>46132.0</v>
      </c>
      <c r="Z70" s="5"/>
      <c r="AA70" s="5"/>
      <c r="AB70" s="5"/>
    </row>
    <row r="71" ht="15.75" customHeight="1">
      <c r="A71" s="21">
        <v>104.0</v>
      </c>
      <c r="B71" s="21" t="s">
        <v>49</v>
      </c>
      <c r="C71" s="21" t="s">
        <v>36</v>
      </c>
      <c r="D71" s="21" t="s">
        <v>38</v>
      </c>
      <c r="E71" s="17" t="s">
        <v>30</v>
      </c>
      <c r="F71" s="17" t="s">
        <v>30</v>
      </c>
      <c r="G71" s="17" t="s">
        <v>30</v>
      </c>
      <c r="H71" s="29">
        <f t="shared" si="17"/>
        <v>0</v>
      </c>
      <c r="I71" s="30">
        <f t="shared" si="18"/>
        <v>0</v>
      </c>
      <c r="J71" s="20" t="str">
        <f t="shared" si="11"/>
        <v>XXX</v>
      </c>
      <c r="K71" s="22" t="s">
        <v>33</v>
      </c>
      <c r="L71" s="22" t="s">
        <v>29</v>
      </c>
      <c r="M71" s="22" t="s">
        <v>29</v>
      </c>
      <c r="N71" s="18">
        <f t="shared" si="12"/>
        <v>0</v>
      </c>
      <c r="O71" s="30">
        <f t="shared" si="19"/>
        <v>0</v>
      </c>
      <c r="P71" s="20">
        <f t="shared" si="14"/>
        <v>0</v>
      </c>
      <c r="Q71" s="31" t="s">
        <v>31</v>
      </c>
      <c r="R71" s="31" t="s">
        <v>28</v>
      </c>
      <c r="S71" s="31" t="s">
        <v>29</v>
      </c>
      <c r="T71" s="29">
        <f t="shared" si="20"/>
        <v>2</v>
      </c>
      <c r="U71" s="30">
        <f t="shared" si="21"/>
        <v>0.6666666667</v>
      </c>
      <c r="V71" s="32" t="s">
        <v>31</v>
      </c>
      <c r="W71" s="32" t="s">
        <v>28</v>
      </c>
      <c r="X71" s="32" t="s">
        <v>28</v>
      </c>
      <c r="Y71" s="24">
        <v>46132.0</v>
      </c>
      <c r="Z71" s="5"/>
      <c r="AA71" s="5"/>
      <c r="AB71" s="5"/>
    </row>
    <row r="72" ht="15.75" customHeight="1">
      <c r="A72" s="21">
        <v>111.0</v>
      </c>
      <c r="B72" s="21" t="s">
        <v>49</v>
      </c>
      <c r="C72" s="21" t="s">
        <v>36</v>
      </c>
      <c r="D72" s="21" t="s">
        <v>47</v>
      </c>
      <c r="E72" s="16" t="s">
        <v>29</v>
      </c>
      <c r="F72" s="17" t="s">
        <v>30</v>
      </c>
      <c r="G72" s="17" t="s">
        <v>30</v>
      </c>
      <c r="H72" s="29">
        <f t="shared" si="17"/>
        <v>0</v>
      </c>
      <c r="I72" s="30">
        <f t="shared" si="18"/>
        <v>0</v>
      </c>
      <c r="J72" s="20">
        <f t="shared" si="11"/>
        <v>0</v>
      </c>
      <c r="K72" s="16" t="s">
        <v>29</v>
      </c>
      <c r="L72" s="16" t="s">
        <v>29</v>
      </c>
      <c r="M72" s="16" t="s">
        <v>29</v>
      </c>
      <c r="N72" s="18">
        <f t="shared" si="12"/>
        <v>1</v>
      </c>
      <c r="O72" s="30">
        <f t="shared" si="19"/>
        <v>0.3333333333</v>
      </c>
      <c r="P72" s="20">
        <f t="shared" si="14"/>
        <v>0.3333333333</v>
      </c>
      <c r="Q72" s="31" t="s">
        <v>29</v>
      </c>
      <c r="R72" s="31" t="s">
        <v>29</v>
      </c>
      <c r="S72" s="31" t="s">
        <v>28</v>
      </c>
      <c r="T72" s="29">
        <f t="shared" si="20"/>
        <v>2</v>
      </c>
      <c r="U72" s="30">
        <f t="shared" si="21"/>
        <v>0.6666666667</v>
      </c>
      <c r="V72" s="32" t="s">
        <v>33</v>
      </c>
      <c r="W72" s="32" t="s">
        <v>29</v>
      </c>
      <c r="X72" s="32" t="s">
        <v>28</v>
      </c>
      <c r="Y72" s="24">
        <v>46132.0</v>
      </c>
      <c r="Z72" s="5"/>
      <c r="AA72" s="5"/>
      <c r="AB72" s="5"/>
    </row>
    <row r="73" ht="15.75" customHeight="1">
      <c r="A73" s="21">
        <v>112.0</v>
      </c>
      <c r="B73" s="21" t="s">
        <v>49</v>
      </c>
      <c r="C73" s="21" t="s">
        <v>36</v>
      </c>
      <c r="D73" s="21" t="s">
        <v>47</v>
      </c>
      <c r="E73" s="22" t="s">
        <v>29</v>
      </c>
      <c r="F73" s="17" t="s">
        <v>30</v>
      </c>
      <c r="G73" s="17" t="s">
        <v>30</v>
      </c>
      <c r="H73" s="29">
        <f t="shared" si="17"/>
        <v>0</v>
      </c>
      <c r="I73" s="30">
        <f t="shared" si="18"/>
        <v>0</v>
      </c>
      <c r="J73" s="20">
        <f t="shared" si="11"/>
        <v>0</v>
      </c>
      <c r="K73" s="22" t="s">
        <v>29</v>
      </c>
      <c r="L73" s="22" t="s">
        <v>28</v>
      </c>
      <c r="M73" s="22" t="s">
        <v>29</v>
      </c>
      <c r="N73" s="18">
        <f t="shared" si="12"/>
        <v>2</v>
      </c>
      <c r="O73" s="30">
        <f t="shared" si="19"/>
        <v>0.6666666667</v>
      </c>
      <c r="P73" s="20">
        <f t="shared" si="14"/>
        <v>0.6666666667</v>
      </c>
      <c r="Q73" s="31" t="s">
        <v>33</v>
      </c>
      <c r="R73" s="31" t="s">
        <v>28</v>
      </c>
      <c r="S73" s="31" t="s">
        <v>29</v>
      </c>
      <c r="T73" s="29">
        <f t="shared" si="20"/>
        <v>3</v>
      </c>
      <c r="U73" s="30">
        <f t="shared" si="21"/>
        <v>1</v>
      </c>
      <c r="V73" s="32" t="s">
        <v>33</v>
      </c>
      <c r="W73" s="32" t="s">
        <v>28</v>
      </c>
      <c r="X73" s="32" t="s">
        <v>29</v>
      </c>
      <c r="Y73" s="24">
        <v>46132.0</v>
      </c>
      <c r="Z73" s="5"/>
      <c r="AA73" s="5"/>
      <c r="AB73" s="5"/>
    </row>
    <row r="74" ht="15.75" customHeight="1">
      <c r="A74" s="21">
        <v>113.0</v>
      </c>
      <c r="B74" s="21" t="s">
        <v>49</v>
      </c>
      <c r="C74" s="21" t="s">
        <v>36</v>
      </c>
      <c r="D74" s="21" t="s">
        <v>47</v>
      </c>
      <c r="E74" s="17" t="s">
        <v>30</v>
      </c>
      <c r="F74" s="17" t="s">
        <v>30</v>
      </c>
      <c r="G74" s="17" t="s">
        <v>30</v>
      </c>
      <c r="H74" s="29">
        <f t="shared" si="17"/>
        <v>0</v>
      </c>
      <c r="I74" s="30">
        <f t="shared" si="18"/>
        <v>0</v>
      </c>
      <c r="J74" s="20" t="str">
        <f t="shared" si="11"/>
        <v>XXX</v>
      </c>
      <c r="K74" s="16" t="s">
        <v>31</v>
      </c>
      <c r="L74" s="16" t="s">
        <v>33</v>
      </c>
      <c r="M74" s="16" t="s">
        <v>29</v>
      </c>
      <c r="N74" s="18">
        <f t="shared" si="12"/>
        <v>2</v>
      </c>
      <c r="O74" s="30">
        <f t="shared" si="19"/>
        <v>0.6666666667</v>
      </c>
      <c r="P74" s="20">
        <f t="shared" si="14"/>
        <v>0.6666666667</v>
      </c>
      <c r="Q74" s="31" t="s">
        <v>31</v>
      </c>
      <c r="R74" s="31" t="s">
        <v>29</v>
      </c>
      <c r="S74" s="31" t="s">
        <v>31</v>
      </c>
      <c r="T74" s="29">
        <f t="shared" si="20"/>
        <v>1</v>
      </c>
      <c r="U74" s="30">
        <f t="shared" si="21"/>
        <v>0.3333333333</v>
      </c>
      <c r="V74" s="32" t="s">
        <v>31</v>
      </c>
      <c r="W74" s="32" t="s">
        <v>33</v>
      </c>
      <c r="X74" s="32" t="s">
        <v>33</v>
      </c>
      <c r="Y74" s="24">
        <v>46132.0</v>
      </c>
      <c r="Z74" s="5"/>
      <c r="AA74" s="5"/>
      <c r="AB74" s="5"/>
    </row>
    <row r="75" ht="15.75" customHeight="1">
      <c r="A75" s="21">
        <v>121.0</v>
      </c>
      <c r="B75" s="21" t="s">
        <v>49</v>
      </c>
      <c r="C75" s="21" t="s">
        <v>36</v>
      </c>
      <c r="D75" s="21" t="s">
        <v>51</v>
      </c>
      <c r="E75" s="22" t="s">
        <v>28</v>
      </c>
      <c r="F75" s="17" t="s">
        <v>30</v>
      </c>
      <c r="G75" s="17" t="s">
        <v>30</v>
      </c>
      <c r="H75" s="29">
        <f t="shared" si="17"/>
        <v>0</v>
      </c>
      <c r="I75" s="30">
        <f t="shared" si="18"/>
        <v>0</v>
      </c>
      <c r="J75" s="20">
        <f t="shared" si="11"/>
        <v>0</v>
      </c>
      <c r="K75" s="22" t="s">
        <v>33</v>
      </c>
      <c r="L75" s="22" t="s">
        <v>29</v>
      </c>
      <c r="M75" s="22" t="s">
        <v>29</v>
      </c>
      <c r="N75" s="18">
        <f t="shared" si="12"/>
        <v>3</v>
      </c>
      <c r="O75" s="30">
        <f t="shared" si="19"/>
        <v>1</v>
      </c>
      <c r="P75" s="20">
        <f t="shared" si="14"/>
        <v>1</v>
      </c>
      <c r="Q75" s="31" t="s">
        <v>33</v>
      </c>
      <c r="R75" s="31" t="s">
        <v>31</v>
      </c>
      <c r="S75" s="31" t="s">
        <v>29</v>
      </c>
      <c r="T75" s="29">
        <f t="shared" si="20"/>
        <v>2</v>
      </c>
      <c r="U75" s="30">
        <f t="shared" si="21"/>
        <v>0.6666666667</v>
      </c>
      <c r="V75" s="32" t="s">
        <v>33</v>
      </c>
      <c r="W75" s="32" t="s">
        <v>29</v>
      </c>
      <c r="X75" s="32" t="s">
        <v>29</v>
      </c>
      <c r="Y75" s="24">
        <v>46132.0</v>
      </c>
      <c r="Z75" s="5"/>
      <c r="AA75" s="5"/>
      <c r="AB75" s="5"/>
    </row>
    <row r="76" ht="15.75" customHeight="1">
      <c r="A76" s="21">
        <v>122.0</v>
      </c>
      <c r="B76" s="21" t="s">
        <v>49</v>
      </c>
      <c r="C76" s="21" t="s">
        <v>36</v>
      </c>
      <c r="D76" s="21" t="s">
        <v>51</v>
      </c>
      <c r="E76" s="17" t="s">
        <v>30</v>
      </c>
      <c r="F76" s="17" t="s">
        <v>30</v>
      </c>
      <c r="G76" s="17" t="s">
        <v>30</v>
      </c>
      <c r="H76" s="29">
        <f t="shared" si="17"/>
        <v>0</v>
      </c>
      <c r="I76" s="30">
        <f t="shared" si="18"/>
        <v>0</v>
      </c>
      <c r="J76" s="20" t="str">
        <f t="shared" si="11"/>
        <v>XXX</v>
      </c>
      <c r="K76" s="16" t="s">
        <v>33</v>
      </c>
      <c r="L76" s="16" t="s">
        <v>29</v>
      </c>
      <c r="M76" s="17" t="s">
        <v>30</v>
      </c>
      <c r="N76" s="18">
        <f t="shared" si="12"/>
        <v>2</v>
      </c>
      <c r="O76" s="30">
        <f t="shared" si="19"/>
        <v>0.6666666667</v>
      </c>
      <c r="P76" s="20">
        <f t="shared" si="14"/>
        <v>1</v>
      </c>
      <c r="Q76" s="31" t="s">
        <v>33</v>
      </c>
      <c r="R76" s="31" t="s">
        <v>29</v>
      </c>
      <c r="S76" s="31" t="s">
        <v>29</v>
      </c>
      <c r="T76" s="29">
        <f t="shared" si="20"/>
        <v>2</v>
      </c>
      <c r="U76" s="30">
        <f t="shared" si="21"/>
        <v>0.6666666667</v>
      </c>
      <c r="V76" s="32" t="s">
        <v>33</v>
      </c>
      <c r="W76" s="32" t="s">
        <v>29</v>
      </c>
      <c r="X76" s="32" t="s">
        <v>28</v>
      </c>
      <c r="Y76" s="24">
        <v>46132.0</v>
      </c>
      <c r="Z76" s="5"/>
      <c r="AA76" s="5"/>
      <c r="AB76" s="5"/>
    </row>
    <row r="77" ht="15.75" customHeight="1">
      <c r="A77" s="21">
        <v>123.0</v>
      </c>
      <c r="B77" s="21" t="s">
        <v>49</v>
      </c>
      <c r="C77" s="21" t="s">
        <v>36</v>
      </c>
      <c r="D77" s="21" t="s">
        <v>51</v>
      </c>
      <c r="E77" s="17" t="s">
        <v>30</v>
      </c>
      <c r="F77" s="17" t="s">
        <v>30</v>
      </c>
      <c r="G77" s="17" t="s">
        <v>30</v>
      </c>
      <c r="H77" s="29">
        <f t="shared" si="17"/>
        <v>0</v>
      </c>
      <c r="I77" s="30">
        <f t="shared" si="18"/>
        <v>0</v>
      </c>
      <c r="J77" s="20" t="str">
        <f t="shared" si="11"/>
        <v>XXX</v>
      </c>
      <c r="K77" s="22" t="s">
        <v>29</v>
      </c>
      <c r="L77" s="22" t="s">
        <v>28</v>
      </c>
      <c r="M77" s="22" t="s">
        <v>33</v>
      </c>
      <c r="N77" s="18">
        <f t="shared" si="12"/>
        <v>1</v>
      </c>
      <c r="O77" s="30">
        <f t="shared" si="19"/>
        <v>0.3333333333</v>
      </c>
      <c r="P77" s="20">
        <f t="shared" si="14"/>
        <v>0.3333333333</v>
      </c>
      <c r="Q77" s="31" t="s">
        <v>28</v>
      </c>
      <c r="R77" s="31" t="s">
        <v>28</v>
      </c>
      <c r="S77" s="31" t="s">
        <v>31</v>
      </c>
      <c r="T77" s="29">
        <f t="shared" si="20"/>
        <v>2</v>
      </c>
      <c r="U77" s="30">
        <f t="shared" si="21"/>
        <v>0.6666666667</v>
      </c>
      <c r="V77" s="32" t="s">
        <v>28</v>
      </c>
      <c r="W77" s="32" t="s">
        <v>28</v>
      </c>
      <c r="X77" s="32" t="s">
        <v>28</v>
      </c>
      <c r="Y77" s="24">
        <v>46132.0</v>
      </c>
      <c r="Z77" s="5"/>
      <c r="AA77" s="5"/>
      <c r="AB77" s="5"/>
    </row>
    <row r="78" ht="15.75" customHeight="1">
      <c r="A78" s="21">
        <v>221.0</v>
      </c>
      <c r="B78" s="21" t="s">
        <v>49</v>
      </c>
      <c r="C78" s="21" t="s">
        <v>41</v>
      </c>
      <c r="D78" s="21" t="s">
        <v>42</v>
      </c>
      <c r="E78" s="17" t="s">
        <v>30</v>
      </c>
      <c r="F78" s="17" t="s">
        <v>30</v>
      </c>
      <c r="G78" s="17" t="s">
        <v>30</v>
      </c>
      <c r="H78" s="29">
        <f t="shared" si="17"/>
        <v>0</v>
      </c>
      <c r="I78" s="30">
        <f t="shared" si="18"/>
        <v>0</v>
      </c>
      <c r="J78" s="20" t="str">
        <f t="shared" si="11"/>
        <v>XXX</v>
      </c>
      <c r="K78" s="16" t="s">
        <v>29</v>
      </c>
      <c r="L78" s="16" t="s">
        <v>29</v>
      </c>
      <c r="M78" s="16" t="s">
        <v>29</v>
      </c>
      <c r="N78" s="18">
        <f t="shared" si="12"/>
        <v>0</v>
      </c>
      <c r="O78" s="30">
        <f t="shared" si="19"/>
        <v>0</v>
      </c>
      <c r="P78" s="20">
        <f t="shared" si="14"/>
        <v>0</v>
      </c>
      <c r="Q78" s="31" t="s">
        <v>29</v>
      </c>
      <c r="R78" s="31" t="s">
        <v>31</v>
      </c>
      <c r="S78" s="31" t="s">
        <v>31</v>
      </c>
      <c r="T78" s="29">
        <f t="shared" si="20"/>
        <v>1</v>
      </c>
      <c r="U78" s="30">
        <f t="shared" si="21"/>
        <v>0.3333333333</v>
      </c>
      <c r="V78" s="32" t="s">
        <v>33</v>
      </c>
      <c r="W78" s="32" t="s">
        <v>28</v>
      </c>
      <c r="X78" s="32" t="s">
        <v>31</v>
      </c>
      <c r="Y78" s="24">
        <v>46132.0</v>
      </c>
      <c r="Z78" s="5"/>
      <c r="AA78" s="5"/>
      <c r="AB78" s="5"/>
    </row>
    <row r="79" ht="15.75" customHeight="1">
      <c r="A79" s="21">
        <v>222.0</v>
      </c>
      <c r="B79" s="21" t="s">
        <v>49</v>
      </c>
      <c r="C79" s="21" t="s">
        <v>41</v>
      </c>
      <c r="D79" s="21" t="s">
        <v>42</v>
      </c>
      <c r="E79" s="17" t="s">
        <v>30</v>
      </c>
      <c r="F79" s="17" t="s">
        <v>30</v>
      </c>
      <c r="G79" s="17" t="s">
        <v>30</v>
      </c>
      <c r="H79" s="29">
        <f t="shared" si="17"/>
        <v>0</v>
      </c>
      <c r="I79" s="30">
        <f t="shared" si="18"/>
        <v>0</v>
      </c>
      <c r="J79" s="20" t="str">
        <f t="shared" si="11"/>
        <v>XXX</v>
      </c>
      <c r="K79" s="22" t="s">
        <v>29</v>
      </c>
      <c r="L79" s="22" t="s">
        <v>29</v>
      </c>
      <c r="M79" s="22" t="s">
        <v>29</v>
      </c>
      <c r="N79" s="18">
        <f t="shared" si="12"/>
        <v>1</v>
      </c>
      <c r="O79" s="30">
        <f t="shared" si="19"/>
        <v>0.3333333333</v>
      </c>
      <c r="P79" s="20">
        <f t="shared" si="14"/>
        <v>0.3333333333</v>
      </c>
      <c r="Q79" s="31" t="s">
        <v>29</v>
      </c>
      <c r="R79" s="31" t="s">
        <v>29</v>
      </c>
      <c r="S79" s="31" t="s">
        <v>33</v>
      </c>
      <c r="T79" s="29">
        <f t="shared" si="20"/>
        <v>2</v>
      </c>
      <c r="U79" s="30">
        <f t="shared" si="21"/>
        <v>0.6666666667</v>
      </c>
      <c r="V79" s="32" t="s">
        <v>31</v>
      </c>
      <c r="W79" s="32" t="s">
        <v>29</v>
      </c>
      <c r="X79" s="32" t="s">
        <v>33</v>
      </c>
      <c r="Y79" s="24">
        <v>46132.0</v>
      </c>
      <c r="Z79" s="5"/>
      <c r="AA79" s="5"/>
      <c r="AB79" s="5"/>
    </row>
    <row r="80" ht="15.75" customHeight="1">
      <c r="A80" s="21">
        <v>223.0</v>
      </c>
      <c r="B80" s="21" t="s">
        <v>49</v>
      </c>
      <c r="C80" s="21" t="s">
        <v>41</v>
      </c>
      <c r="D80" s="21" t="s">
        <v>42</v>
      </c>
      <c r="E80" s="16" t="s">
        <v>29</v>
      </c>
      <c r="F80" s="17" t="s">
        <v>30</v>
      </c>
      <c r="G80" s="16" t="s">
        <v>28</v>
      </c>
      <c r="H80" s="29">
        <f t="shared" si="17"/>
        <v>2</v>
      </c>
      <c r="I80" s="30">
        <f t="shared" si="18"/>
        <v>0.6666666667</v>
      </c>
      <c r="J80" s="20">
        <f t="shared" si="11"/>
        <v>1</v>
      </c>
      <c r="K80" s="16" t="s">
        <v>29</v>
      </c>
      <c r="L80" s="16" t="s">
        <v>33</v>
      </c>
      <c r="M80" s="16" t="s">
        <v>28</v>
      </c>
      <c r="N80" s="18">
        <f t="shared" si="12"/>
        <v>3</v>
      </c>
      <c r="O80" s="30">
        <f t="shared" si="19"/>
        <v>1</v>
      </c>
      <c r="P80" s="20">
        <f t="shared" si="14"/>
        <v>1</v>
      </c>
      <c r="Q80" s="31" t="s">
        <v>29</v>
      </c>
      <c r="R80" s="31" t="s">
        <v>33</v>
      </c>
      <c r="S80" s="31" t="s">
        <v>28</v>
      </c>
      <c r="T80" s="29">
        <f t="shared" si="20"/>
        <v>3</v>
      </c>
      <c r="U80" s="30">
        <f t="shared" si="21"/>
        <v>1</v>
      </c>
      <c r="V80" s="32" t="s">
        <v>29</v>
      </c>
      <c r="W80" s="32" t="s">
        <v>33</v>
      </c>
      <c r="X80" s="32" t="s">
        <v>28</v>
      </c>
      <c r="Y80" s="24">
        <v>46132.0</v>
      </c>
      <c r="Z80" s="5"/>
      <c r="AA80" s="5"/>
      <c r="AB80" s="5"/>
    </row>
    <row r="81" ht="15.75" customHeight="1">
      <c r="A81" s="21">
        <v>231.0</v>
      </c>
      <c r="B81" s="21" t="s">
        <v>49</v>
      </c>
      <c r="C81" s="21" t="s">
        <v>41</v>
      </c>
      <c r="D81" s="21" t="s">
        <v>43</v>
      </c>
      <c r="E81" s="17" t="s">
        <v>30</v>
      </c>
      <c r="F81" s="22" t="s">
        <v>28</v>
      </c>
      <c r="G81" s="17" t="s">
        <v>30</v>
      </c>
      <c r="H81" s="29">
        <f t="shared" si="17"/>
        <v>1</v>
      </c>
      <c r="I81" s="30">
        <f t="shared" si="18"/>
        <v>0.3333333333</v>
      </c>
      <c r="J81" s="20">
        <f t="shared" si="11"/>
        <v>1</v>
      </c>
      <c r="K81" s="22" t="s">
        <v>28</v>
      </c>
      <c r="L81" s="22" t="s">
        <v>28</v>
      </c>
      <c r="M81" s="22" t="s">
        <v>29</v>
      </c>
      <c r="N81" s="18">
        <f t="shared" si="12"/>
        <v>2</v>
      </c>
      <c r="O81" s="30">
        <f t="shared" si="19"/>
        <v>0.6666666667</v>
      </c>
      <c r="P81" s="20">
        <f t="shared" si="14"/>
        <v>0.6666666667</v>
      </c>
      <c r="Q81" s="31" t="s">
        <v>33</v>
      </c>
      <c r="R81" s="31" t="s">
        <v>28</v>
      </c>
      <c r="S81" s="31" t="s">
        <v>29</v>
      </c>
      <c r="T81" s="29">
        <f t="shared" si="20"/>
        <v>2</v>
      </c>
      <c r="U81" s="30">
        <f t="shared" si="21"/>
        <v>0.6666666667</v>
      </c>
      <c r="V81" s="32" t="s">
        <v>31</v>
      </c>
      <c r="W81" s="32" t="s">
        <v>28</v>
      </c>
      <c r="X81" s="32" t="s">
        <v>29</v>
      </c>
      <c r="Y81" s="24">
        <v>46132.0</v>
      </c>
      <c r="Z81" s="5"/>
      <c r="AA81" s="5"/>
      <c r="AB81" s="5"/>
    </row>
    <row r="82" ht="15.75" customHeight="1">
      <c r="A82" s="21">
        <v>232.0</v>
      </c>
      <c r="B82" s="21" t="s">
        <v>49</v>
      </c>
      <c r="C82" s="21" t="s">
        <v>41</v>
      </c>
      <c r="D82" s="21" t="s">
        <v>43</v>
      </c>
      <c r="E82" s="17" t="s">
        <v>30</v>
      </c>
      <c r="F82" s="17" t="s">
        <v>30</v>
      </c>
      <c r="G82" s="17" t="s">
        <v>30</v>
      </c>
      <c r="H82" s="29">
        <f t="shared" si="17"/>
        <v>0</v>
      </c>
      <c r="I82" s="30">
        <f t="shared" si="18"/>
        <v>0</v>
      </c>
      <c r="J82" s="20" t="str">
        <f t="shared" si="11"/>
        <v>XXX</v>
      </c>
      <c r="K82" s="16" t="s">
        <v>28</v>
      </c>
      <c r="L82" s="16" t="s">
        <v>29</v>
      </c>
      <c r="M82" s="16" t="s">
        <v>33</v>
      </c>
      <c r="N82" s="18">
        <f t="shared" si="12"/>
        <v>0</v>
      </c>
      <c r="O82" s="30">
        <f t="shared" si="19"/>
        <v>0</v>
      </c>
      <c r="P82" s="20">
        <f t="shared" si="14"/>
        <v>0</v>
      </c>
      <c r="Q82" s="31" t="s">
        <v>33</v>
      </c>
      <c r="R82" s="31" t="s">
        <v>33</v>
      </c>
      <c r="S82" s="31" t="s">
        <v>28</v>
      </c>
      <c r="T82" s="29">
        <f t="shared" si="20"/>
        <v>3</v>
      </c>
      <c r="U82" s="30">
        <f t="shared" si="21"/>
        <v>1</v>
      </c>
      <c r="V82" s="32" t="s">
        <v>33</v>
      </c>
      <c r="W82" s="32" t="s">
        <v>33</v>
      </c>
      <c r="X82" s="32" t="s">
        <v>28</v>
      </c>
      <c r="Y82" s="24">
        <v>46132.0</v>
      </c>
      <c r="Z82" s="5"/>
      <c r="AA82" s="5"/>
      <c r="AB82" s="5"/>
    </row>
    <row r="83" ht="15.75" customHeight="1">
      <c r="A83" s="21">
        <v>233.0</v>
      </c>
      <c r="B83" s="21" t="s">
        <v>49</v>
      </c>
      <c r="C83" s="21" t="s">
        <v>41</v>
      </c>
      <c r="D83" s="21" t="s">
        <v>43</v>
      </c>
      <c r="E83" s="17" t="s">
        <v>30</v>
      </c>
      <c r="F83" s="17" t="s">
        <v>30</v>
      </c>
      <c r="G83" s="17" t="s">
        <v>30</v>
      </c>
      <c r="H83" s="29">
        <f t="shared" si="17"/>
        <v>0</v>
      </c>
      <c r="I83" s="30">
        <f t="shared" si="18"/>
        <v>0</v>
      </c>
      <c r="J83" s="20" t="str">
        <f t="shared" si="11"/>
        <v>XXX</v>
      </c>
      <c r="K83" s="22" t="s">
        <v>29</v>
      </c>
      <c r="L83" s="22" t="s">
        <v>33</v>
      </c>
      <c r="M83" s="22" t="s">
        <v>31</v>
      </c>
      <c r="N83" s="18">
        <f t="shared" si="12"/>
        <v>2</v>
      </c>
      <c r="O83" s="30">
        <f t="shared" si="19"/>
        <v>0.6666666667</v>
      </c>
      <c r="P83" s="20">
        <f t="shared" si="14"/>
        <v>0.6666666667</v>
      </c>
      <c r="Q83" s="31" t="s">
        <v>29</v>
      </c>
      <c r="R83" s="31" t="s">
        <v>31</v>
      </c>
      <c r="S83" s="31" t="s">
        <v>31</v>
      </c>
      <c r="T83" s="29">
        <f t="shared" si="20"/>
        <v>3</v>
      </c>
      <c r="U83" s="30">
        <f t="shared" si="21"/>
        <v>1</v>
      </c>
      <c r="V83" s="32" t="s">
        <v>29</v>
      </c>
      <c r="W83" s="32" t="s">
        <v>31</v>
      </c>
      <c r="X83" s="32" t="s">
        <v>31</v>
      </c>
      <c r="Y83" s="24">
        <v>46132.0</v>
      </c>
      <c r="Z83" s="5"/>
      <c r="AA83" s="5"/>
      <c r="AB83" s="5"/>
    </row>
    <row r="84" ht="15.75" customHeight="1">
      <c r="A84" s="21">
        <v>251.0</v>
      </c>
      <c r="B84" s="21" t="s">
        <v>49</v>
      </c>
      <c r="C84" s="21" t="s">
        <v>41</v>
      </c>
      <c r="D84" s="21" t="s">
        <v>44</v>
      </c>
      <c r="E84" s="16" t="s">
        <v>29</v>
      </c>
      <c r="F84" s="17" t="s">
        <v>30</v>
      </c>
      <c r="G84" s="17" t="s">
        <v>30</v>
      </c>
      <c r="H84" s="29">
        <f t="shared" si="17"/>
        <v>0</v>
      </c>
      <c r="I84" s="30">
        <f t="shared" si="18"/>
        <v>0</v>
      </c>
      <c r="J84" s="20">
        <f t="shared" si="11"/>
        <v>0</v>
      </c>
      <c r="K84" s="16" t="s">
        <v>28</v>
      </c>
      <c r="L84" s="16" t="s">
        <v>29</v>
      </c>
      <c r="M84" s="16" t="s">
        <v>33</v>
      </c>
      <c r="N84" s="18">
        <f t="shared" si="12"/>
        <v>0</v>
      </c>
      <c r="O84" s="30">
        <f t="shared" si="19"/>
        <v>0</v>
      </c>
      <c r="P84" s="20">
        <f t="shared" si="14"/>
        <v>0</v>
      </c>
      <c r="Q84" s="31" t="s">
        <v>28</v>
      </c>
      <c r="R84" s="31" t="s">
        <v>29</v>
      </c>
      <c r="S84" s="31" t="s">
        <v>33</v>
      </c>
      <c r="T84" s="29">
        <f t="shared" si="20"/>
        <v>0</v>
      </c>
      <c r="U84" s="30">
        <f t="shared" si="21"/>
        <v>0</v>
      </c>
      <c r="V84" s="32" t="s">
        <v>33</v>
      </c>
      <c r="W84" s="32" t="s">
        <v>28</v>
      </c>
      <c r="X84" s="32" t="s">
        <v>31</v>
      </c>
      <c r="Y84" s="24">
        <v>46132.0</v>
      </c>
      <c r="Z84" s="5"/>
      <c r="AA84" s="5"/>
      <c r="AB84" s="5"/>
    </row>
    <row r="85" ht="15.75" customHeight="1">
      <c r="A85" s="21">
        <v>252.0</v>
      </c>
      <c r="B85" s="21" t="s">
        <v>49</v>
      </c>
      <c r="C85" s="21" t="s">
        <v>41</v>
      </c>
      <c r="D85" s="21" t="s">
        <v>44</v>
      </c>
      <c r="E85" s="22" t="s">
        <v>29</v>
      </c>
      <c r="F85" s="17" t="s">
        <v>30</v>
      </c>
      <c r="G85" s="17" t="s">
        <v>30</v>
      </c>
      <c r="H85" s="29">
        <f t="shared" si="17"/>
        <v>1</v>
      </c>
      <c r="I85" s="30">
        <f t="shared" si="18"/>
        <v>0.3333333333</v>
      </c>
      <c r="J85" s="20">
        <f t="shared" si="11"/>
        <v>1</v>
      </c>
      <c r="K85" s="22" t="s">
        <v>29</v>
      </c>
      <c r="L85" s="22" t="s">
        <v>28</v>
      </c>
      <c r="M85" s="22" t="s">
        <v>28</v>
      </c>
      <c r="N85" s="18">
        <f t="shared" si="12"/>
        <v>2</v>
      </c>
      <c r="O85" s="30">
        <f t="shared" si="19"/>
        <v>0.6666666667</v>
      </c>
      <c r="P85" s="20">
        <f t="shared" si="14"/>
        <v>0.6666666667</v>
      </c>
      <c r="Q85" s="31" t="s">
        <v>29</v>
      </c>
      <c r="R85" s="31" t="s">
        <v>33</v>
      </c>
      <c r="S85" s="31" t="s">
        <v>28</v>
      </c>
      <c r="T85" s="29">
        <f t="shared" si="20"/>
        <v>3</v>
      </c>
      <c r="U85" s="30">
        <f t="shared" si="21"/>
        <v>1</v>
      </c>
      <c r="V85" s="32" t="s">
        <v>29</v>
      </c>
      <c r="W85" s="32" t="s">
        <v>33</v>
      </c>
      <c r="X85" s="32" t="s">
        <v>28</v>
      </c>
      <c r="Y85" s="24">
        <v>46132.0</v>
      </c>
      <c r="Z85" s="5"/>
      <c r="AA85" s="5"/>
      <c r="AB85" s="5"/>
    </row>
    <row r="86" ht="15.75" customHeight="1">
      <c r="A86" s="21">
        <v>253.0</v>
      </c>
      <c r="B86" s="21" t="s">
        <v>49</v>
      </c>
      <c r="C86" s="21" t="s">
        <v>41</v>
      </c>
      <c r="D86" s="21" t="s">
        <v>44</v>
      </c>
      <c r="E86" s="17" t="s">
        <v>30</v>
      </c>
      <c r="F86" s="17" t="s">
        <v>30</v>
      </c>
      <c r="G86" s="17" t="s">
        <v>30</v>
      </c>
      <c r="H86" s="29">
        <f t="shared" si="17"/>
        <v>0</v>
      </c>
      <c r="I86" s="30">
        <f t="shared" si="18"/>
        <v>0</v>
      </c>
      <c r="J86" s="20" t="str">
        <f t="shared" si="11"/>
        <v>XXX</v>
      </c>
      <c r="K86" s="16" t="s">
        <v>31</v>
      </c>
      <c r="L86" s="16" t="s">
        <v>31</v>
      </c>
      <c r="M86" s="16" t="s">
        <v>29</v>
      </c>
      <c r="N86" s="18">
        <f t="shared" si="12"/>
        <v>1</v>
      </c>
      <c r="O86" s="30">
        <f t="shared" si="19"/>
        <v>0.3333333333</v>
      </c>
      <c r="P86" s="20">
        <f t="shared" si="14"/>
        <v>0.3333333333</v>
      </c>
      <c r="Q86" s="31" t="s">
        <v>31</v>
      </c>
      <c r="R86" s="31" t="s">
        <v>33</v>
      </c>
      <c r="S86" s="31" t="s">
        <v>33</v>
      </c>
      <c r="T86" s="29">
        <f t="shared" si="20"/>
        <v>2</v>
      </c>
      <c r="U86" s="30">
        <f t="shared" si="21"/>
        <v>0.6666666667</v>
      </c>
      <c r="V86" s="32" t="s">
        <v>31</v>
      </c>
      <c r="W86" s="32" t="s">
        <v>28</v>
      </c>
      <c r="X86" s="32" t="s">
        <v>33</v>
      </c>
      <c r="Y86" s="24">
        <v>46132.0</v>
      </c>
      <c r="Z86" s="5"/>
      <c r="AA86" s="5"/>
      <c r="AB86" s="5"/>
    </row>
    <row r="87" ht="15.75" customHeight="1">
      <c r="A87" s="21">
        <v>261.0</v>
      </c>
      <c r="B87" s="21" t="s">
        <v>49</v>
      </c>
      <c r="C87" s="21" t="s">
        <v>41</v>
      </c>
      <c r="D87" s="21" t="s">
        <v>45</v>
      </c>
      <c r="E87" s="22" t="s">
        <v>33</v>
      </c>
      <c r="F87" s="17" t="s">
        <v>30</v>
      </c>
      <c r="G87" s="22" t="s">
        <v>31</v>
      </c>
      <c r="H87" s="29">
        <f t="shared" si="17"/>
        <v>2</v>
      </c>
      <c r="I87" s="30">
        <f t="shared" si="18"/>
        <v>0.6666666667</v>
      </c>
      <c r="J87" s="20">
        <f t="shared" si="11"/>
        <v>1</v>
      </c>
      <c r="K87" s="22" t="s">
        <v>33</v>
      </c>
      <c r="L87" s="22" t="s">
        <v>29</v>
      </c>
      <c r="M87" s="22" t="s">
        <v>31</v>
      </c>
      <c r="N87" s="18">
        <f t="shared" si="12"/>
        <v>2</v>
      </c>
      <c r="O87" s="30">
        <f t="shared" si="19"/>
        <v>0.6666666667</v>
      </c>
      <c r="P87" s="20">
        <f t="shared" si="14"/>
        <v>0.6666666667</v>
      </c>
      <c r="Q87" s="31" t="s">
        <v>33</v>
      </c>
      <c r="R87" s="31" t="s">
        <v>28</v>
      </c>
      <c r="S87" s="31" t="s">
        <v>31</v>
      </c>
      <c r="T87" s="29">
        <f t="shared" si="20"/>
        <v>3</v>
      </c>
      <c r="U87" s="30">
        <f t="shared" si="21"/>
        <v>1</v>
      </c>
      <c r="V87" s="32" t="s">
        <v>33</v>
      </c>
      <c r="W87" s="32" t="s">
        <v>28</v>
      </c>
      <c r="X87" s="32" t="s">
        <v>31</v>
      </c>
      <c r="Y87" s="24">
        <v>46132.0</v>
      </c>
      <c r="Z87" s="5"/>
      <c r="AA87" s="5"/>
      <c r="AB87" s="5"/>
    </row>
    <row r="88" ht="15.75" customHeight="1">
      <c r="A88" s="21">
        <v>262.0</v>
      </c>
      <c r="B88" s="21" t="s">
        <v>49</v>
      </c>
      <c r="C88" s="21" t="s">
        <v>41</v>
      </c>
      <c r="D88" s="21" t="s">
        <v>45</v>
      </c>
      <c r="E88" s="17" t="s">
        <v>30</v>
      </c>
      <c r="F88" s="17" t="s">
        <v>30</v>
      </c>
      <c r="G88" s="17" t="s">
        <v>30</v>
      </c>
      <c r="H88" s="29">
        <f t="shared" si="17"/>
        <v>0</v>
      </c>
      <c r="I88" s="30">
        <f t="shared" si="18"/>
        <v>0</v>
      </c>
      <c r="J88" s="20" t="str">
        <f t="shared" si="11"/>
        <v>XXX</v>
      </c>
      <c r="K88" s="16" t="s">
        <v>29</v>
      </c>
      <c r="L88" s="16" t="s">
        <v>33</v>
      </c>
      <c r="M88" s="16" t="s">
        <v>33</v>
      </c>
      <c r="N88" s="18">
        <f t="shared" si="12"/>
        <v>2</v>
      </c>
      <c r="O88" s="30">
        <f t="shared" si="19"/>
        <v>0.6666666667</v>
      </c>
      <c r="P88" s="20">
        <f t="shared" si="14"/>
        <v>0.6666666667</v>
      </c>
      <c r="Q88" s="31" t="s">
        <v>29</v>
      </c>
      <c r="R88" s="31" t="s">
        <v>33</v>
      </c>
      <c r="S88" s="31" t="s">
        <v>33</v>
      </c>
      <c r="T88" s="29">
        <f t="shared" si="20"/>
        <v>2</v>
      </c>
      <c r="U88" s="30">
        <f t="shared" si="21"/>
        <v>0.6666666667</v>
      </c>
      <c r="V88" s="32" t="s">
        <v>29</v>
      </c>
      <c r="W88" s="32" t="s">
        <v>31</v>
      </c>
      <c r="X88" s="32" t="s">
        <v>33</v>
      </c>
      <c r="Y88" s="24">
        <v>46132.0</v>
      </c>
      <c r="Z88" s="5"/>
      <c r="AA88" s="5"/>
      <c r="AB88" s="5"/>
    </row>
    <row r="89" ht="15.75" customHeight="1">
      <c r="A89" s="21">
        <v>263.0</v>
      </c>
      <c r="B89" s="21" t="s">
        <v>49</v>
      </c>
      <c r="C89" s="21" t="s">
        <v>41</v>
      </c>
      <c r="D89" s="21" t="s">
        <v>45</v>
      </c>
      <c r="E89" s="22" t="s">
        <v>28</v>
      </c>
      <c r="F89" s="17" t="s">
        <v>30</v>
      </c>
      <c r="G89" s="22" t="s">
        <v>33</v>
      </c>
      <c r="H89" s="29">
        <f t="shared" si="17"/>
        <v>1</v>
      </c>
      <c r="I89" s="30">
        <f t="shared" si="18"/>
        <v>0.3333333333</v>
      </c>
      <c r="J89" s="20">
        <f t="shared" si="11"/>
        <v>0.5</v>
      </c>
      <c r="K89" s="22" t="s">
        <v>28</v>
      </c>
      <c r="L89" s="22" t="s">
        <v>28</v>
      </c>
      <c r="M89" s="22" t="s">
        <v>33</v>
      </c>
      <c r="N89" s="18">
        <f t="shared" si="12"/>
        <v>1</v>
      </c>
      <c r="O89" s="30">
        <f t="shared" si="19"/>
        <v>0.3333333333</v>
      </c>
      <c r="P89" s="20">
        <f t="shared" si="14"/>
        <v>0.3333333333</v>
      </c>
      <c r="Q89" s="31" t="s">
        <v>28</v>
      </c>
      <c r="R89" s="31" t="s">
        <v>31</v>
      </c>
      <c r="S89" s="31" t="s">
        <v>33</v>
      </c>
      <c r="T89" s="29">
        <f t="shared" si="20"/>
        <v>1</v>
      </c>
      <c r="U89" s="30">
        <f t="shared" si="21"/>
        <v>0.3333333333</v>
      </c>
      <c r="V89" s="32" t="s">
        <v>28</v>
      </c>
      <c r="W89" s="32" t="s">
        <v>33</v>
      </c>
      <c r="X89" s="32" t="s">
        <v>29</v>
      </c>
      <c r="Y89" s="24">
        <v>46132.0</v>
      </c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7"/>
      <c r="L90" s="37"/>
      <c r="M90" s="3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7"/>
      <c r="L91" s="37"/>
      <c r="M91" s="3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7"/>
      <c r="L92" s="37"/>
      <c r="M92" s="3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7"/>
      <c r="L93" s="37"/>
      <c r="M93" s="3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7"/>
      <c r="L94" s="37"/>
      <c r="M94" s="3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7"/>
      <c r="L95" s="37"/>
      <c r="M95" s="3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7"/>
      <c r="L96" s="37"/>
      <c r="M96" s="3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7"/>
      <c r="L97" s="37"/>
      <c r="M97" s="3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7"/>
      <c r="L98" s="37"/>
      <c r="M98" s="3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7"/>
      <c r="L99" s="37"/>
      <c r="M99" s="3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7"/>
      <c r="L100" s="37"/>
      <c r="M100" s="3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7"/>
      <c r="L101" s="37"/>
      <c r="M101" s="3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7"/>
      <c r="L102" s="37"/>
      <c r="M102" s="3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7"/>
      <c r="L103" s="37"/>
      <c r="M103" s="3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7"/>
      <c r="L104" s="37"/>
      <c r="M104" s="3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7"/>
      <c r="L105" s="37"/>
      <c r="M105" s="3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7"/>
      <c r="L106" s="37"/>
      <c r="M106" s="3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7"/>
      <c r="L107" s="37"/>
      <c r="M107" s="3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7"/>
      <c r="L108" s="37"/>
      <c r="M108" s="3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7"/>
      <c r="L109" s="37"/>
      <c r="M109" s="3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7"/>
      <c r="L110" s="37"/>
      <c r="M110" s="3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7"/>
      <c r="L111" s="37"/>
      <c r="M111" s="3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7"/>
      <c r="L112" s="37"/>
      <c r="M112" s="3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7"/>
      <c r="L113" s="37"/>
      <c r="M113" s="3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7"/>
      <c r="L114" s="37"/>
      <c r="M114" s="3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7"/>
      <c r="L115" s="37"/>
      <c r="M115" s="3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7"/>
      <c r="L116" s="37"/>
      <c r="M116" s="3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7"/>
      <c r="L117" s="37"/>
      <c r="M117" s="3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7"/>
      <c r="L118" s="37"/>
      <c r="M118" s="3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7"/>
      <c r="L119" s="37"/>
      <c r="M119" s="3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7"/>
      <c r="L120" s="37"/>
      <c r="M120" s="3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7"/>
      <c r="L121" s="37"/>
      <c r="M121" s="3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7"/>
      <c r="L122" s="37"/>
      <c r="M122" s="3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7"/>
      <c r="L123" s="37"/>
      <c r="M123" s="3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7"/>
      <c r="L124" s="37"/>
      <c r="M124" s="3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7"/>
      <c r="L125" s="37"/>
      <c r="M125" s="3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7"/>
      <c r="L126" s="37"/>
      <c r="M126" s="3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7"/>
      <c r="L127" s="37"/>
      <c r="M127" s="3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7"/>
      <c r="L128" s="37"/>
      <c r="M128" s="3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7"/>
      <c r="L129" s="37"/>
      <c r="M129" s="3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7"/>
      <c r="L133" s="37"/>
      <c r="M133" s="3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7"/>
      <c r="L134" s="37"/>
      <c r="M134" s="3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7"/>
      <c r="L135" s="37"/>
      <c r="M135" s="3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7"/>
      <c r="L136" s="37"/>
      <c r="M136" s="3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7"/>
      <c r="L140" s="37"/>
      <c r="M140" s="3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7"/>
      <c r="L141" s="37"/>
      <c r="M141" s="3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7"/>
      <c r="L142" s="37"/>
      <c r="M142" s="3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7"/>
      <c r="L145" s="37"/>
      <c r="M145" s="3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7"/>
      <c r="L146" s="37"/>
      <c r="M146" s="3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7"/>
      <c r="L147" s="37"/>
      <c r="M147" s="3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7"/>
      <c r="L150" s="37"/>
      <c r="M150" s="3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7"/>
      <c r="L151" s="37"/>
      <c r="M151" s="3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7"/>
      <c r="L152" s="37"/>
      <c r="M152" s="3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7"/>
      <c r="L153" s="37"/>
      <c r="M153" s="3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7"/>
      <c r="L154" s="37"/>
      <c r="M154" s="3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7"/>
      <c r="L155" s="37"/>
      <c r="M155" s="3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7"/>
      <c r="L156" s="37"/>
      <c r="M156" s="3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7"/>
      <c r="L157" s="37"/>
      <c r="M157" s="3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7"/>
      <c r="L158" s="37"/>
      <c r="M158" s="3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7"/>
      <c r="L159" s="37"/>
      <c r="M159" s="3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7"/>
      <c r="L160" s="37"/>
      <c r="M160" s="3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7"/>
      <c r="L161" s="37"/>
      <c r="M161" s="3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7"/>
      <c r="L162" s="37"/>
      <c r="M162" s="3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7"/>
      <c r="L163" s="37"/>
      <c r="M163" s="3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7"/>
      <c r="L164" s="37"/>
      <c r="M164" s="3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7"/>
      <c r="L165" s="37"/>
      <c r="M165" s="3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7"/>
      <c r="L166" s="37"/>
      <c r="M166" s="3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7"/>
      <c r="L167" s="37"/>
      <c r="M167" s="3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7"/>
      <c r="L168" s="37"/>
      <c r="M168" s="3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7"/>
      <c r="L169" s="37"/>
      <c r="M169" s="3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7"/>
      <c r="L170" s="37"/>
      <c r="M170" s="3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7"/>
      <c r="L171" s="37"/>
      <c r="M171" s="3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7"/>
      <c r="L172" s="37"/>
      <c r="M172" s="3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7"/>
      <c r="L173" s="37"/>
      <c r="M173" s="3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7"/>
      <c r="L174" s="37"/>
      <c r="M174" s="3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7"/>
      <c r="L175" s="37"/>
      <c r="M175" s="3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7"/>
      <c r="L176" s="37"/>
      <c r="M176" s="3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7"/>
      <c r="L177" s="37"/>
      <c r="M177" s="3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7"/>
      <c r="L178" s="37"/>
      <c r="M178" s="3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7"/>
      <c r="L179" s="37"/>
      <c r="M179" s="3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7"/>
      <c r="L180" s="37"/>
      <c r="M180" s="3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7"/>
      <c r="L181" s="37"/>
      <c r="M181" s="3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7"/>
      <c r="L182" s="37"/>
      <c r="M182" s="3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7"/>
      <c r="L183" s="37"/>
      <c r="M183" s="3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7"/>
      <c r="L184" s="37"/>
      <c r="M184" s="3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7"/>
      <c r="L185" s="37"/>
      <c r="M185" s="3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7"/>
      <c r="L186" s="37"/>
      <c r="M186" s="3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7"/>
      <c r="L187" s="37"/>
      <c r="M187" s="3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7"/>
      <c r="L188" s="37"/>
      <c r="M188" s="3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7"/>
      <c r="L189" s="37"/>
      <c r="M189" s="3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7"/>
      <c r="L190" s="37"/>
      <c r="M190" s="3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7"/>
      <c r="L191" s="37"/>
      <c r="M191" s="3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7"/>
      <c r="L192" s="37"/>
      <c r="M192" s="3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7"/>
      <c r="L193" s="37"/>
      <c r="M193" s="3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7"/>
      <c r="L194" s="37"/>
      <c r="M194" s="3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7"/>
      <c r="L195" s="37"/>
      <c r="M195" s="3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7"/>
      <c r="L196" s="37"/>
      <c r="M196" s="3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7"/>
      <c r="L197" s="37"/>
      <c r="M197" s="3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7"/>
      <c r="L198" s="37"/>
      <c r="M198" s="3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7"/>
      <c r="L199" s="37"/>
      <c r="M199" s="3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7"/>
      <c r="L200" s="37"/>
      <c r="M200" s="3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7"/>
      <c r="L201" s="37"/>
      <c r="M201" s="3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7"/>
      <c r="L202" s="37"/>
      <c r="M202" s="3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7"/>
      <c r="L203" s="37"/>
      <c r="M203" s="3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7"/>
      <c r="L204" s="37"/>
      <c r="M204" s="3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7"/>
      <c r="L205" s="37"/>
      <c r="M205" s="3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7"/>
      <c r="L206" s="37"/>
      <c r="M206" s="3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7"/>
      <c r="L207" s="37"/>
      <c r="M207" s="3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7"/>
      <c r="L208" s="37"/>
      <c r="M208" s="3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7"/>
      <c r="L209" s="37"/>
      <c r="M209" s="3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7"/>
      <c r="L210" s="37"/>
      <c r="M210" s="3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7"/>
      <c r="L211" s="37"/>
      <c r="M211" s="3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7"/>
      <c r="L212" s="37"/>
      <c r="M212" s="3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7"/>
      <c r="L213" s="37"/>
      <c r="M213" s="3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7"/>
      <c r="L214" s="37"/>
      <c r="M214" s="3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7"/>
      <c r="L215" s="37"/>
      <c r="M215" s="3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7"/>
      <c r="L216" s="37"/>
      <c r="M216" s="3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7"/>
      <c r="L217" s="37"/>
      <c r="M217" s="3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7"/>
      <c r="L218" s="37"/>
      <c r="M218" s="3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7"/>
      <c r="L219" s="37"/>
      <c r="M219" s="3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7"/>
      <c r="L220" s="37"/>
      <c r="M220" s="3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7"/>
      <c r="L221" s="37"/>
      <c r="M221" s="3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7"/>
      <c r="L222" s="37"/>
      <c r="M222" s="3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7"/>
      <c r="L223" s="37"/>
      <c r="M223" s="3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7"/>
      <c r="L224" s="37"/>
      <c r="M224" s="3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7"/>
      <c r="L225" s="37"/>
      <c r="M225" s="3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7"/>
      <c r="L226" s="37"/>
      <c r="M226" s="3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7"/>
      <c r="L227" s="37"/>
      <c r="M227" s="3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7"/>
      <c r="L228" s="37"/>
      <c r="M228" s="3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7"/>
      <c r="L229" s="37"/>
      <c r="M229" s="3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7"/>
      <c r="L230" s="37"/>
      <c r="M230" s="3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7"/>
      <c r="L231" s="37"/>
      <c r="M231" s="3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7"/>
      <c r="L232" s="37"/>
      <c r="M232" s="3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7"/>
      <c r="L233" s="37"/>
      <c r="M233" s="3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7"/>
      <c r="L234" s="37"/>
      <c r="M234" s="3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7"/>
      <c r="L235" s="37"/>
      <c r="M235" s="3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7"/>
      <c r="L236" s="37"/>
      <c r="M236" s="3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7"/>
      <c r="L237" s="37"/>
      <c r="M237" s="3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7"/>
      <c r="L238" s="37"/>
      <c r="M238" s="3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7"/>
      <c r="L239" s="37"/>
      <c r="M239" s="3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7"/>
      <c r="L240" s="37"/>
      <c r="M240" s="3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7"/>
      <c r="L241" s="37"/>
      <c r="M241" s="3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7"/>
      <c r="L242" s="37"/>
      <c r="M242" s="3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7"/>
      <c r="L243" s="37"/>
      <c r="M243" s="3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7"/>
      <c r="L244" s="37"/>
      <c r="M244" s="3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7"/>
      <c r="L245" s="37"/>
      <c r="M245" s="3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7"/>
      <c r="L246" s="37"/>
      <c r="M246" s="3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7"/>
      <c r="L247" s="37"/>
      <c r="M247" s="3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7"/>
      <c r="L248" s="37"/>
      <c r="M248" s="3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7"/>
      <c r="L249" s="37"/>
      <c r="M249" s="3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7"/>
      <c r="L250" s="37"/>
      <c r="M250" s="3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7"/>
      <c r="L251" s="37"/>
      <c r="M251" s="3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7"/>
      <c r="L252" s="37"/>
      <c r="M252" s="3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7"/>
      <c r="L253" s="37"/>
      <c r="M253" s="3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7"/>
      <c r="L254" s="37"/>
      <c r="M254" s="3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7"/>
      <c r="L255" s="37"/>
      <c r="M255" s="3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7"/>
      <c r="L256" s="37"/>
      <c r="M256" s="3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7"/>
      <c r="L257" s="37"/>
      <c r="M257" s="3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7"/>
      <c r="L258" s="37"/>
      <c r="M258" s="3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7"/>
      <c r="L259" s="37"/>
      <c r="M259" s="3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7"/>
      <c r="L260" s="37"/>
      <c r="M260" s="3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7"/>
      <c r="L261" s="37"/>
      <c r="M261" s="3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7"/>
      <c r="L262" s="37"/>
      <c r="M262" s="3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7"/>
      <c r="L263" s="37"/>
      <c r="M263" s="3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7"/>
      <c r="L264" s="37"/>
      <c r="M264" s="3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7"/>
      <c r="L265" s="37"/>
      <c r="M265" s="3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7"/>
      <c r="L266" s="37"/>
      <c r="M266" s="3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7"/>
      <c r="L267" s="37"/>
      <c r="M267" s="3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7"/>
      <c r="L268" s="37"/>
      <c r="M268" s="3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7"/>
      <c r="L269" s="37"/>
      <c r="M269" s="3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7"/>
      <c r="L270" s="37"/>
      <c r="M270" s="3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7"/>
      <c r="L271" s="37"/>
      <c r="M271" s="3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7"/>
      <c r="L272" s="37"/>
      <c r="M272" s="3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7"/>
      <c r="L273" s="37"/>
      <c r="M273" s="3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7"/>
      <c r="L274" s="37"/>
      <c r="M274" s="3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7"/>
      <c r="L275" s="37"/>
      <c r="M275" s="3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7"/>
      <c r="L276" s="37"/>
      <c r="M276" s="3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7"/>
      <c r="L277" s="37"/>
      <c r="M277" s="3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7"/>
      <c r="L278" s="37"/>
      <c r="M278" s="3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7"/>
      <c r="L279" s="37"/>
      <c r="M279" s="3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7"/>
      <c r="L280" s="37"/>
      <c r="M280" s="3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7"/>
      <c r="L281" s="37"/>
      <c r="M281" s="3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7"/>
      <c r="L282" s="37"/>
      <c r="M282" s="3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7"/>
      <c r="L283" s="37"/>
      <c r="M283" s="3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7"/>
      <c r="L284" s="37"/>
      <c r="M284" s="3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7"/>
      <c r="L285" s="37"/>
      <c r="M285" s="3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7"/>
      <c r="L286" s="37"/>
      <c r="M286" s="3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7"/>
      <c r="L287" s="37"/>
      <c r="M287" s="3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7"/>
      <c r="L288" s="37"/>
      <c r="M288" s="3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7"/>
      <c r="L289" s="37"/>
      <c r="M289" s="3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7"/>
      <c r="L290" s="37"/>
      <c r="M290" s="3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7"/>
      <c r="L291" s="37"/>
      <c r="M291" s="3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7"/>
      <c r="L292" s="37"/>
      <c r="M292" s="3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7"/>
      <c r="L293" s="37"/>
      <c r="M293" s="3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7"/>
      <c r="L294" s="37"/>
      <c r="M294" s="3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7"/>
      <c r="L295" s="37"/>
      <c r="M295" s="3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7"/>
      <c r="L296" s="37"/>
      <c r="M296" s="3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7"/>
      <c r="L297" s="37"/>
      <c r="M297" s="3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7"/>
      <c r="L298" s="37"/>
      <c r="M298" s="3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7"/>
      <c r="L299" s="37"/>
      <c r="M299" s="3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7"/>
      <c r="L300" s="37"/>
      <c r="M300" s="3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7"/>
      <c r="L301" s="37"/>
      <c r="M301" s="3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7"/>
      <c r="L302" s="37"/>
      <c r="M302" s="3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7"/>
      <c r="L303" s="37"/>
      <c r="M303" s="3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7"/>
      <c r="L304" s="37"/>
      <c r="M304" s="3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7"/>
      <c r="L305" s="37"/>
      <c r="M305" s="3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7"/>
      <c r="L306" s="37"/>
      <c r="M306" s="3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7"/>
      <c r="L307" s="37"/>
      <c r="M307" s="3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7"/>
      <c r="L308" s="37"/>
      <c r="M308" s="3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7"/>
      <c r="L309" s="37"/>
      <c r="M309" s="3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7"/>
      <c r="L310" s="37"/>
      <c r="M310" s="3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7"/>
      <c r="L311" s="37"/>
      <c r="M311" s="3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7"/>
      <c r="L312" s="37"/>
      <c r="M312" s="3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7"/>
      <c r="L313" s="37"/>
      <c r="M313" s="3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7"/>
      <c r="L314" s="37"/>
      <c r="M314" s="3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7"/>
      <c r="L315" s="37"/>
      <c r="M315" s="3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7"/>
      <c r="L316" s="37"/>
      <c r="M316" s="3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7"/>
      <c r="L317" s="37"/>
      <c r="M317" s="3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7"/>
      <c r="L318" s="37"/>
      <c r="M318" s="3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7"/>
      <c r="L319" s="37"/>
      <c r="M319" s="3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7"/>
      <c r="L320" s="37"/>
      <c r="M320" s="3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7"/>
      <c r="L321" s="37"/>
      <c r="M321" s="3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7"/>
      <c r="L322" s="37"/>
      <c r="M322" s="3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7"/>
      <c r="L323" s="37"/>
      <c r="M323" s="3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7"/>
      <c r="L324" s="37"/>
      <c r="M324" s="3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7"/>
      <c r="L325" s="37"/>
      <c r="M325" s="3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7"/>
      <c r="L326" s="37"/>
      <c r="M326" s="3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7"/>
      <c r="L327" s="37"/>
      <c r="M327" s="3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7"/>
      <c r="L328" s="37"/>
      <c r="M328" s="3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7"/>
      <c r="L329" s="37"/>
      <c r="M329" s="3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7"/>
      <c r="L330" s="37"/>
      <c r="M330" s="3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7"/>
      <c r="L331" s="37"/>
      <c r="M331" s="3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7"/>
      <c r="L332" s="37"/>
      <c r="M332" s="3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7"/>
      <c r="L333" s="37"/>
      <c r="M333" s="3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7"/>
      <c r="L334" s="37"/>
      <c r="M334" s="3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7"/>
      <c r="L335" s="37"/>
      <c r="M335" s="3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7"/>
      <c r="L336" s="37"/>
      <c r="M336" s="3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7"/>
      <c r="L337" s="37"/>
      <c r="M337" s="3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7"/>
      <c r="L338" s="37"/>
      <c r="M338" s="3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7"/>
      <c r="L339" s="37"/>
      <c r="M339" s="3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7"/>
      <c r="L340" s="37"/>
      <c r="M340" s="3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7"/>
      <c r="L341" s="37"/>
      <c r="M341" s="3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7"/>
      <c r="L342" s="37"/>
      <c r="M342" s="3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7"/>
      <c r="L343" s="37"/>
      <c r="M343" s="3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7"/>
      <c r="L344" s="37"/>
      <c r="M344" s="3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7"/>
      <c r="L345" s="37"/>
      <c r="M345" s="3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7"/>
      <c r="L346" s="37"/>
      <c r="M346" s="3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7"/>
      <c r="L347" s="37"/>
      <c r="M347" s="3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7"/>
      <c r="L348" s="37"/>
      <c r="M348" s="3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7"/>
      <c r="L349" s="37"/>
      <c r="M349" s="3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7"/>
      <c r="L350" s="37"/>
      <c r="M350" s="3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7"/>
      <c r="L351" s="37"/>
      <c r="M351" s="3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7"/>
      <c r="L352" s="37"/>
      <c r="M352" s="3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7"/>
      <c r="L353" s="37"/>
      <c r="M353" s="3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7"/>
      <c r="L354" s="37"/>
      <c r="M354" s="3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7"/>
      <c r="L355" s="37"/>
      <c r="M355" s="3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7"/>
      <c r="L356" s="37"/>
      <c r="M356" s="3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7"/>
      <c r="L357" s="37"/>
      <c r="M357" s="3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7"/>
      <c r="L358" s="37"/>
      <c r="M358" s="3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7"/>
      <c r="L359" s="37"/>
      <c r="M359" s="3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7"/>
      <c r="L360" s="37"/>
      <c r="M360" s="3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7"/>
      <c r="L361" s="37"/>
      <c r="M361" s="3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7"/>
      <c r="L362" s="37"/>
      <c r="M362" s="3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7"/>
      <c r="L363" s="37"/>
      <c r="M363" s="3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7"/>
      <c r="L364" s="37"/>
      <c r="M364" s="3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7"/>
      <c r="L365" s="37"/>
      <c r="M365" s="3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7"/>
      <c r="L366" s="37"/>
      <c r="M366" s="3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7"/>
      <c r="L367" s="37"/>
      <c r="M367" s="3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7"/>
      <c r="L368" s="37"/>
      <c r="M368" s="3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7"/>
      <c r="L369" s="37"/>
      <c r="M369" s="3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7"/>
      <c r="L370" s="37"/>
      <c r="M370" s="3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7"/>
      <c r="L371" s="37"/>
      <c r="M371" s="3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7"/>
      <c r="L372" s="37"/>
      <c r="M372" s="3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7"/>
      <c r="L373" s="37"/>
      <c r="M373" s="3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7"/>
      <c r="L374" s="37"/>
      <c r="M374" s="3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7"/>
      <c r="L375" s="37"/>
      <c r="M375" s="3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7"/>
      <c r="L376" s="37"/>
      <c r="M376" s="3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7"/>
      <c r="L377" s="37"/>
      <c r="M377" s="3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7"/>
      <c r="L378" s="37"/>
      <c r="M378" s="3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7"/>
      <c r="L379" s="37"/>
      <c r="M379" s="3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7"/>
      <c r="L380" s="37"/>
      <c r="M380" s="3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7"/>
      <c r="L381" s="37"/>
      <c r="M381" s="3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7"/>
      <c r="L382" s="37"/>
      <c r="M382" s="3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7"/>
      <c r="L383" s="37"/>
      <c r="M383" s="3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7"/>
      <c r="L384" s="37"/>
      <c r="M384" s="3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7"/>
      <c r="L385" s="37"/>
      <c r="M385" s="3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7"/>
      <c r="L386" s="37"/>
      <c r="M386" s="3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7"/>
      <c r="L387" s="37"/>
      <c r="M387" s="3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7"/>
      <c r="L388" s="37"/>
      <c r="M388" s="3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7"/>
      <c r="L389" s="37"/>
      <c r="M389" s="3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7"/>
      <c r="L390" s="37"/>
      <c r="M390" s="3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7"/>
      <c r="L391" s="37"/>
      <c r="M391" s="3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7"/>
      <c r="L392" s="37"/>
      <c r="M392" s="3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7"/>
      <c r="L393" s="37"/>
      <c r="M393" s="3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7"/>
      <c r="L394" s="37"/>
      <c r="M394" s="3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7"/>
      <c r="L395" s="37"/>
      <c r="M395" s="3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7"/>
      <c r="L396" s="37"/>
      <c r="M396" s="3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7"/>
      <c r="L397" s="37"/>
      <c r="M397" s="3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7"/>
      <c r="L398" s="37"/>
      <c r="M398" s="3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7"/>
      <c r="L399" s="37"/>
      <c r="M399" s="3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7"/>
      <c r="L400" s="37"/>
      <c r="M400" s="3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7"/>
      <c r="L401" s="37"/>
      <c r="M401" s="3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7"/>
      <c r="L402" s="37"/>
      <c r="M402" s="3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7"/>
      <c r="L403" s="37"/>
      <c r="M403" s="3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7"/>
      <c r="L404" s="37"/>
      <c r="M404" s="3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7"/>
      <c r="L405" s="37"/>
      <c r="M405" s="3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7"/>
      <c r="L406" s="37"/>
      <c r="M406" s="3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7"/>
      <c r="L407" s="37"/>
      <c r="M407" s="3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7"/>
      <c r="L408" s="37"/>
      <c r="M408" s="3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7"/>
      <c r="L409" s="37"/>
      <c r="M409" s="3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7"/>
      <c r="L410" s="37"/>
      <c r="M410" s="3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7"/>
      <c r="L411" s="37"/>
      <c r="M411" s="3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7"/>
      <c r="L412" s="37"/>
      <c r="M412" s="3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7"/>
      <c r="L413" s="37"/>
      <c r="M413" s="3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7"/>
      <c r="L414" s="37"/>
      <c r="M414" s="3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7"/>
      <c r="L415" s="37"/>
      <c r="M415" s="3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7"/>
      <c r="L416" s="37"/>
      <c r="M416" s="3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7"/>
      <c r="L417" s="37"/>
      <c r="M417" s="3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7"/>
      <c r="L418" s="37"/>
      <c r="M418" s="3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7"/>
      <c r="L419" s="37"/>
      <c r="M419" s="3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7"/>
      <c r="L420" s="37"/>
      <c r="M420" s="3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7"/>
      <c r="L421" s="37"/>
      <c r="M421" s="3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7"/>
      <c r="L422" s="37"/>
      <c r="M422" s="3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7"/>
      <c r="L423" s="37"/>
      <c r="M423" s="3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7"/>
      <c r="L424" s="37"/>
      <c r="M424" s="3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7"/>
      <c r="L425" s="37"/>
      <c r="M425" s="3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7"/>
      <c r="L426" s="37"/>
      <c r="M426" s="3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7"/>
      <c r="L427" s="37"/>
      <c r="M427" s="3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7"/>
      <c r="L428" s="37"/>
      <c r="M428" s="3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7"/>
      <c r="L429" s="37"/>
      <c r="M429" s="3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7"/>
      <c r="L430" s="37"/>
      <c r="M430" s="3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7"/>
      <c r="L431" s="37"/>
      <c r="M431" s="3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7"/>
      <c r="L432" s="37"/>
      <c r="M432" s="3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7"/>
      <c r="L433" s="37"/>
      <c r="M433" s="3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7"/>
      <c r="L434" s="37"/>
      <c r="M434" s="3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7"/>
      <c r="L435" s="37"/>
      <c r="M435" s="3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7"/>
      <c r="L436" s="37"/>
      <c r="M436" s="3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7"/>
      <c r="L437" s="37"/>
      <c r="M437" s="3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7"/>
      <c r="L438" s="37"/>
      <c r="M438" s="3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7"/>
      <c r="L439" s="37"/>
      <c r="M439" s="3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7"/>
      <c r="L440" s="37"/>
      <c r="M440" s="3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7"/>
      <c r="L441" s="37"/>
      <c r="M441" s="3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7"/>
      <c r="L442" s="37"/>
      <c r="M442" s="3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7"/>
      <c r="L443" s="37"/>
      <c r="M443" s="3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7"/>
      <c r="L444" s="37"/>
      <c r="M444" s="3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7"/>
      <c r="L445" s="37"/>
      <c r="M445" s="3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7"/>
      <c r="L446" s="37"/>
      <c r="M446" s="3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7"/>
      <c r="L447" s="37"/>
      <c r="M447" s="3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7"/>
      <c r="L448" s="37"/>
      <c r="M448" s="3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7"/>
      <c r="L449" s="37"/>
      <c r="M449" s="3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7"/>
      <c r="L450" s="37"/>
      <c r="M450" s="3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7"/>
      <c r="L451" s="37"/>
      <c r="M451" s="3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7"/>
      <c r="L452" s="37"/>
      <c r="M452" s="3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7"/>
      <c r="L453" s="37"/>
      <c r="M453" s="3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7"/>
      <c r="L454" s="37"/>
      <c r="M454" s="3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7"/>
      <c r="L455" s="37"/>
      <c r="M455" s="3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7"/>
      <c r="L456" s="37"/>
      <c r="M456" s="3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7"/>
      <c r="L457" s="37"/>
      <c r="M457" s="3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7"/>
      <c r="L458" s="37"/>
      <c r="M458" s="3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7"/>
      <c r="L459" s="37"/>
      <c r="M459" s="3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7"/>
      <c r="L460" s="37"/>
      <c r="M460" s="3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7"/>
      <c r="L461" s="37"/>
      <c r="M461" s="3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7"/>
      <c r="L462" s="37"/>
      <c r="M462" s="3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7"/>
      <c r="L463" s="37"/>
      <c r="M463" s="3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7"/>
      <c r="L464" s="37"/>
      <c r="M464" s="3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7"/>
      <c r="L465" s="37"/>
      <c r="M465" s="3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7"/>
      <c r="L466" s="37"/>
      <c r="M466" s="3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7"/>
      <c r="L467" s="37"/>
      <c r="M467" s="3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7"/>
      <c r="L468" s="37"/>
      <c r="M468" s="3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7"/>
      <c r="L469" s="37"/>
      <c r="M469" s="3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7"/>
      <c r="L470" s="37"/>
      <c r="M470" s="3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7"/>
      <c r="L471" s="37"/>
      <c r="M471" s="3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7"/>
      <c r="L472" s="37"/>
      <c r="M472" s="3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7"/>
      <c r="L473" s="37"/>
      <c r="M473" s="3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7"/>
      <c r="L474" s="37"/>
      <c r="M474" s="3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7"/>
      <c r="L475" s="37"/>
      <c r="M475" s="3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7"/>
      <c r="L476" s="37"/>
      <c r="M476" s="3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7"/>
      <c r="L477" s="37"/>
      <c r="M477" s="3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7"/>
      <c r="L478" s="37"/>
      <c r="M478" s="3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7"/>
      <c r="L479" s="37"/>
      <c r="M479" s="3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7"/>
      <c r="L480" s="37"/>
      <c r="M480" s="3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7"/>
      <c r="L481" s="37"/>
      <c r="M481" s="3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7"/>
      <c r="L482" s="37"/>
      <c r="M482" s="3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7"/>
      <c r="L483" s="37"/>
      <c r="M483" s="3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7"/>
      <c r="L484" s="37"/>
      <c r="M484" s="3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7"/>
      <c r="L485" s="37"/>
      <c r="M485" s="3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7"/>
      <c r="L486" s="37"/>
      <c r="M486" s="3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7"/>
      <c r="L487" s="37"/>
      <c r="M487" s="3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7"/>
      <c r="L488" s="37"/>
      <c r="M488" s="3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7"/>
      <c r="L489" s="37"/>
      <c r="M489" s="3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7"/>
      <c r="L490" s="37"/>
      <c r="M490" s="3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7"/>
      <c r="L491" s="37"/>
      <c r="M491" s="3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7"/>
      <c r="L492" s="37"/>
      <c r="M492" s="3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7"/>
      <c r="L493" s="37"/>
      <c r="M493" s="3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7"/>
      <c r="L494" s="37"/>
      <c r="M494" s="3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7"/>
      <c r="L495" s="37"/>
      <c r="M495" s="3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7"/>
      <c r="L496" s="37"/>
      <c r="M496" s="3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7"/>
      <c r="L497" s="37"/>
      <c r="M497" s="3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7"/>
      <c r="L498" s="37"/>
      <c r="M498" s="3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7"/>
      <c r="L499" s="37"/>
      <c r="M499" s="3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7"/>
      <c r="L500" s="37"/>
      <c r="M500" s="3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7"/>
      <c r="L501" s="37"/>
      <c r="M501" s="3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7"/>
      <c r="L502" s="37"/>
      <c r="M502" s="3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7"/>
      <c r="L503" s="37"/>
      <c r="M503" s="3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7"/>
      <c r="L504" s="37"/>
      <c r="M504" s="3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7"/>
      <c r="L505" s="37"/>
      <c r="M505" s="3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7"/>
      <c r="L506" s="37"/>
      <c r="M506" s="3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7"/>
      <c r="L507" s="37"/>
      <c r="M507" s="3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7"/>
      <c r="L508" s="37"/>
      <c r="M508" s="3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7"/>
      <c r="L509" s="37"/>
      <c r="M509" s="3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7"/>
      <c r="L510" s="37"/>
      <c r="M510" s="3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7"/>
      <c r="L511" s="37"/>
      <c r="M511" s="3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7"/>
      <c r="L512" s="37"/>
      <c r="M512" s="3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7"/>
      <c r="L513" s="37"/>
      <c r="M513" s="3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7"/>
      <c r="L514" s="37"/>
      <c r="M514" s="3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7"/>
      <c r="L515" s="37"/>
      <c r="M515" s="3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7"/>
      <c r="L516" s="37"/>
      <c r="M516" s="3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7"/>
      <c r="L517" s="37"/>
      <c r="M517" s="3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7"/>
      <c r="L518" s="37"/>
      <c r="M518" s="3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7"/>
      <c r="L519" s="37"/>
      <c r="M519" s="3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7"/>
      <c r="L520" s="37"/>
      <c r="M520" s="3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7"/>
      <c r="L521" s="37"/>
      <c r="M521" s="3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7"/>
      <c r="L522" s="37"/>
      <c r="M522" s="3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7"/>
      <c r="L523" s="37"/>
      <c r="M523" s="3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7"/>
      <c r="L524" s="37"/>
      <c r="M524" s="3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7"/>
      <c r="L525" s="37"/>
      <c r="M525" s="3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7"/>
      <c r="L526" s="37"/>
      <c r="M526" s="3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7"/>
      <c r="L527" s="37"/>
      <c r="M527" s="3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7"/>
      <c r="L528" s="37"/>
      <c r="M528" s="3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7"/>
      <c r="L529" s="37"/>
      <c r="M529" s="3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7"/>
      <c r="L530" s="37"/>
      <c r="M530" s="3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7"/>
      <c r="L531" s="37"/>
      <c r="M531" s="3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7"/>
      <c r="L532" s="37"/>
      <c r="M532" s="3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7"/>
      <c r="L533" s="37"/>
      <c r="M533" s="3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7"/>
      <c r="L534" s="37"/>
      <c r="M534" s="3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7"/>
      <c r="L535" s="37"/>
      <c r="M535" s="3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7"/>
      <c r="L536" s="37"/>
      <c r="M536" s="3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7"/>
      <c r="L537" s="37"/>
      <c r="M537" s="3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7"/>
      <c r="L538" s="37"/>
      <c r="M538" s="3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7"/>
      <c r="L539" s="37"/>
      <c r="M539" s="3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7"/>
      <c r="L540" s="37"/>
      <c r="M540" s="3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7"/>
      <c r="L541" s="37"/>
      <c r="M541" s="3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7"/>
      <c r="L542" s="37"/>
      <c r="M542" s="3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7"/>
      <c r="L543" s="37"/>
      <c r="M543" s="3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7"/>
      <c r="L544" s="37"/>
      <c r="M544" s="3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7"/>
      <c r="L545" s="37"/>
      <c r="M545" s="3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7"/>
      <c r="L546" s="37"/>
      <c r="M546" s="3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7"/>
      <c r="L547" s="37"/>
      <c r="M547" s="3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7"/>
      <c r="L548" s="37"/>
      <c r="M548" s="3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7"/>
      <c r="L549" s="37"/>
      <c r="M549" s="3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7"/>
      <c r="L550" s="37"/>
      <c r="M550" s="3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7"/>
      <c r="L551" s="37"/>
      <c r="M551" s="3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7"/>
      <c r="L552" s="37"/>
      <c r="M552" s="3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7"/>
      <c r="L553" s="37"/>
      <c r="M553" s="3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7"/>
      <c r="L554" s="37"/>
      <c r="M554" s="3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7"/>
      <c r="L555" s="37"/>
      <c r="M555" s="3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7"/>
      <c r="L556" s="37"/>
      <c r="M556" s="3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7"/>
      <c r="L557" s="37"/>
      <c r="M557" s="3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7"/>
      <c r="L558" s="37"/>
      <c r="M558" s="3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7"/>
      <c r="L559" s="37"/>
      <c r="M559" s="3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7"/>
      <c r="L560" s="37"/>
      <c r="M560" s="3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7"/>
      <c r="L561" s="37"/>
      <c r="M561" s="3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7"/>
      <c r="L562" s="37"/>
      <c r="M562" s="3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7"/>
      <c r="L563" s="37"/>
      <c r="M563" s="3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7"/>
      <c r="L564" s="37"/>
      <c r="M564" s="3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7"/>
      <c r="L565" s="37"/>
      <c r="M565" s="3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7"/>
      <c r="L566" s="37"/>
      <c r="M566" s="3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7"/>
      <c r="L567" s="37"/>
      <c r="M567" s="3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7"/>
      <c r="L568" s="37"/>
      <c r="M568" s="3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7"/>
      <c r="L569" s="37"/>
      <c r="M569" s="3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7"/>
      <c r="L570" s="37"/>
      <c r="M570" s="3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7"/>
      <c r="L571" s="37"/>
      <c r="M571" s="3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7"/>
      <c r="L572" s="37"/>
      <c r="M572" s="3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7"/>
      <c r="L573" s="37"/>
      <c r="M573" s="3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7"/>
      <c r="L574" s="37"/>
      <c r="M574" s="3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7"/>
      <c r="L575" s="37"/>
      <c r="M575" s="3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7"/>
      <c r="L576" s="37"/>
      <c r="M576" s="3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7"/>
      <c r="L577" s="37"/>
      <c r="M577" s="3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7"/>
      <c r="L578" s="37"/>
      <c r="M578" s="3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7"/>
      <c r="L579" s="37"/>
      <c r="M579" s="3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7"/>
      <c r="L580" s="37"/>
      <c r="M580" s="3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7"/>
      <c r="L581" s="37"/>
      <c r="M581" s="3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7"/>
      <c r="L582" s="37"/>
      <c r="M582" s="3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7"/>
      <c r="L583" s="37"/>
      <c r="M583" s="3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7"/>
      <c r="L584" s="37"/>
      <c r="M584" s="3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7"/>
      <c r="L585" s="37"/>
      <c r="M585" s="3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7"/>
      <c r="L586" s="37"/>
      <c r="M586" s="3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7"/>
      <c r="L587" s="37"/>
      <c r="M587" s="3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7"/>
      <c r="L588" s="37"/>
      <c r="M588" s="3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7"/>
      <c r="L589" s="37"/>
      <c r="M589" s="3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7"/>
      <c r="L590" s="37"/>
      <c r="M590" s="3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7"/>
      <c r="L591" s="37"/>
      <c r="M591" s="3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7"/>
      <c r="L592" s="37"/>
      <c r="M592" s="3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7"/>
      <c r="L593" s="37"/>
      <c r="M593" s="3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7"/>
      <c r="L594" s="37"/>
      <c r="M594" s="3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7"/>
      <c r="L595" s="37"/>
      <c r="M595" s="3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7"/>
      <c r="L596" s="37"/>
      <c r="M596" s="3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7"/>
      <c r="L597" s="37"/>
      <c r="M597" s="3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7"/>
      <c r="L598" s="37"/>
      <c r="M598" s="3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7"/>
      <c r="L599" s="37"/>
      <c r="M599" s="3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7"/>
      <c r="L600" s="37"/>
      <c r="M600" s="3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7"/>
      <c r="L601" s="37"/>
      <c r="M601" s="3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7"/>
      <c r="L602" s="37"/>
      <c r="M602" s="3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7"/>
      <c r="L603" s="37"/>
      <c r="M603" s="3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7"/>
      <c r="L604" s="37"/>
      <c r="M604" s="3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7"/>
      <c r="L605" s="37"/>
      <c r="M605" s="3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7"/>
      <c r="L606" s="37"/>
      <c r="M606" s="3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7"/>
      <c r="L607" s="37"/>
      <c r="M607" s="3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7"/>
      <c r="L608" s="37"/>
      <c r="M608" s="3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7"/>
      <c r="L609" s="37"/>
      <c r="M609" s="3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7"/>
      <c r="L610" s="37"/>
      <c r="M610" s="3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7"/>
      <c r="L611" s="37"/>
      <c r="M611" s="3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7"/>
      <c r="L612" s="37"/>
      <c r="M612" s="3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7"/>
      <c r="L613" s="37"/>
      <c r="M613" s="3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7"/>
      <c r="L614" s="37"/>
      <c r="M614" s="3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7"/>
      <c r="L615" s="37"/>
      <c r="M615" s="3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7"/>
      <c r="L616" s="37"/>
      <c r="M616" s="3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7"/>
      <c r="L617" s="37"/>
      <c r="M617" s="3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7"/>
      <c r="L618" s="37"/>
      <c r="M618" s="3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7"/>
      <c r="L619" s="37"/>
      <c r="M619" s="3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7"/>
      <c r="L620" s="37"/>
      <c r="M620" s="3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7"/>
      <c r="L621" s="37"/>
      <c r="M621" s="3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7"/>
      <c r="L622" s="37"/>
      <c r="M622" s="3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7"/>
      <c r="L623" s="37"/>
      <c r="M623" s="3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7"/>
      <c r="L624" s="37"/>
      <c r="M624" s="3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7"/>
      <c r="L625" s="37"/>
      <c r="M625" s="3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7"/>
      <c r="L626" s="37"/>
      <c r="M626" s="3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7"/>
      <c r="L627" s="37"/>
      <c r="M627" s="3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7"/>
      <c r="L628" s="37"/>
      <c r="M628" s="3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7"/>
      <c r="L629" s="37"/>
      <c r="M629" s="3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7"/>
      <c r="L630" s="37"/>
      <c r="M630" s="3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7"/>
      <c r="L631" s="37"/>
      <c r="M631" s="3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7"/>
      <c r="L632" s="37"/>
      <c r="M632" s="3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7"/>
      <c r="L633" s="37"/>
      <c r="M633" s="3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7"/>
      <c r="L634" s="37"/>
      <c r="M634" s="3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7"/>
      <c r="L635" s="37"/>
      <c r="M635" s="3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7"/>
      <c r="L636" s="37"/>
      <c r="M636" s="3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7"/>
      <c r="L637" s="37"/>
      <c r="M637" s="3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7"/>
      <c r="L638" s="37"/>
      <c r="M638" s="3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7"/>
      <c r="L639" s="37"/>
      <c r="M639" s="3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7"/>
      <c r="L640" s="37"/>
      <c r="M640" s="3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7"/>
      <c r="L641" s="37"/>
      <c r="M641" s="3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7"/>
      <c r="L642" s="37"/>
      <c r="M642" s="3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7"/>
      <c r="L643" s="37"/>
      <c r="M643" s="3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7"/>
      <c r="L644" s="37"/>
      <c r="M644" s="3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7"/>
      <c r="L645" s="37"/>
      <c r="M645" s="3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7"/>
      <c r="L646" s="37"/>
      <c r="M646" s="3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7"/>
      <c r="L647" s="37"/>
      <c r="M647" s="3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7"/>
      <c r="L648" s="37"/>
      <c r="M648" s="3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7"/>
      <c r="L649" s="37"/>
      <c r="M649" s="3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7"/>
      <c r="L650" s="37"/>
      <c r="M650" s="3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7"/>
      <c r="L651" s="37"/>
      <c r="M651" s="3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7"/>
      <c r="L652" s="37"/>
      <c r="M652" s="3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7"/>
      <c r="L653" s="37"/>
      <c r="M653" s="3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7"/>
      <c r="L654" s="37"/>
      <c r="M654" s="3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7"/>
      <c r="L655" s="37"/>
      <c r="M655" s="3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7"/>
      <c r="L656" s="37"/>
      <c r="M656" s="3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7"/>
      <c r="L657" s="37"/>
      <c r="M657" s="3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7"/>
      <c r="L658" s="37"/>
      <c r="M658" s="3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7"/>
      <c r="L659" s="37"/>
      <c r="M659" s="3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7"/>
      <c r="L660" s="37"/>
      <c r="M660" s="3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7"/>
      <c r="L661" s="37"/>
      <c r="M661" s="3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7"/>
      <c r="L662" s="37"/>
      <c r="M662" s="3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7"/>
      <c r="L663" s="37"/>
      <c r="M663" s="3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7"/>
      <c r="L664" s="37"/>
      <c r="M664" s="3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7"/>
      <c r="L665" s="37"/>
      <c r="M665" s="3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7"/>
      <c r="L666" s="37"/>
      <c r="M666" s="3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7"/>
      <c r="L667" s="37"/>
      <c r="M667" s="3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7"/>
      <c r="L668" s="37"/>
      <c r="M668" s="3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7"/>
      <c r="L669" s="37"/>
      <c r="M669" s="3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7"/>
      <c r="L670" s="37"/>
      <c r="M670" s="3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7"/>
      <c r="L671" s="37"/>
      <c r="M671" s="3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7"/>
      <c r="L672" s="37"/>
      <c r="M672" s="3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7"/>
      <c r="L673" s="37"/>
      <c r="M673" s="3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7"/>
      <c r="L674" s="37"/>
      <c r="M674" s="3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7"/>
      <c r="L675" s="37"/>
      <c r="M675" s="3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7"/>
      <c r="L676" s="37"/>
      <c r="M676" s="3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7"/>
      <c r="L677" s="37"/>
      <c r="M677" s="3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7"/>
      <c r="L678" s="37"/>
      <c r="M678" s="3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7"/>
      <c r="L679" s="37"/>
      <c r="M679" s="3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7"/>
      <c r="L680" s="37"/>
      <c r="M680" s="3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7"/>
      <c r="L681" s="37"/>
      <c r="M681" s="3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7"/>
      <c r="L682" s="37"/>
      <c r="M682" s="3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7"/>
      <c r="L683" s="37"/>
      <c r="M683" s="3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7"/>
      <c r="L684" s="37"/>
      <c r="M684" s="3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7"/>
      <c r="L685" s="37"/>
      <c r="M685" s="3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7"/>
      <c r="L686" s="37"/>
      <c r="M686" s="3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7"/>
      <c r="L687" s="37"/>
      <c r="M687" s="3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7"/>
      <c r="L688" s="37"/>
      <c r="M688" s="3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7"/>
      <c r="L689" s="37"/>
      <c r="M689" s="3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7"/>
      <c r="L690" s="37"/>
      <c r="M690" s="3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7"/>
      <c r="L691" s="37"/>
      <c r="M691" s="3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7"/>
      <c r="L692" s="37"/>
      <c r="M692" s="3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7"/>
      <c r="L693" s="37"/>
      <c r="M693" s="3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7"/>
      <c r="L694" s="37"/>
      <c r="M694" s="3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7"/>
      <c r="L695" s="37"/>
      <c r="M695" s="3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7"/>
      <c r="L696" s="37"/>
      <c r="M696" s="3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7"/>
      <c r="L697" s="37"/>
      <c r="M697" s="3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7"/>
      <c r="L698" s="37"/>
      <c r="M698" s="3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7"/>
      <c r="L699" s="37"/>
      <c r="M699" s="3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7"/>
      <c r="L700" s="37"/>
      <c r="M700" s="3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7"/>
      <c r="L701" s="37"/>
      <c r="M701" s="3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7"/>
      <c r="L702" s="37"/>
      <c r="M702" s="3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7"/>
      <c r="L703" s="37"/>
      <c r="M703" s="3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7"/>
      <c r="L704" s="37"/>
      <c r="M704" s="3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7"/>
      <c r="L705" s="37"/>
      <c r="M705" s="3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7"/>
      <c r="L706" s="37"/>
      <c r="M706" s="3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7"/>
      <c r="L707" s="37"/>
      <c r="M707" s="3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7"/>
      <c r="L708" s="37"/>
      <c r="M708" s="3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7"/>
      <c r="L709" s="37"/>
      <c r="M709" s="3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7"/>
      <c r="L710" s="37"/>
      <c r="M710" s="3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7"/>
      <c r="L711" s="37"/>
      <c r="M711" s="3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7"/>
      <c r="L712" s="37"/>
      <c r="M712" s="3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7"/>
      <c r="L713" s="37"/>
      <c r="M713" s="3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7"/>
      <c r="L714" s="37"/>
      <c r="M714" s="3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7"/>
      <c r="L715" s="37"/>
      <c r="M715" s="3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7"/>
      <c r="L716" s="37"/>
      <c r="M716" s="3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7"/>
      <c r="L717" s="37"/>
      <c r="M717" s="3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7"/>
      <c r="L718" s="37"/>
      <c r="M718" s="3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7"/>
      <c r="L719" s="37"/>
      <c r="M719" s="3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7"/>
      <c r="L720" s="37"/>
      <c r="M720" s="3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7"/>
      <c r="L721" s="37"/>
      <c r="M721" s="3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7"/>
      <c r="L722" s="37"/>
      <c r="M722" s="3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7"/>
      <c r="L723" s="37"/>
      <c r="M723" s="3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7"/>
      <c r="L724" s="37"/>
      <c r="M724" s="3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7"/>
      <c r="L725" s="37"/>
      <c r="M725" s="3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7"/>
      <c r="L726" s="37"/>
      <c r="M726" s="3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7"/>
      <c r="L727" s="37"/>
      <c r="M727" s="3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7"/>
      <c r="L728" s="37"/>
      <c r="M728" s="3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7"/>
      <c r="L729" s="37"/>
      <c r="M729" s="3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7"/>
      <c r="L730" s="37"/>
      <c r="M730" s="3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7"/>
      <c r="L731" s="37"/>
      <c r="M731" s="3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7"/>
      <c r="L732" s="37"/>
      <c r="M732" s="3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7"/>
      <c r="L733" s="37"/>
      <c r="M733" s="3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7"/>
      <c r="L734" s="37"/>
      <c r="M734" s="3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7"/>
      <c r="L735" s="37"/>
      <c r="M735" s="3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7"/>
      <c r="L736" s="37"/>
      <c r="M736" s="3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7"/>
      <c r="L737" s="37"/>
      <c r="M737" s="3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7"/>
      <c r="L738" s="37"/>
      <c r="M738" s="3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7"/>
      <c r="L739" s="37"/>
      <c r="M739" s="3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7"/>
      <c r="L740" s="37"/>
      <c r="M740" s="3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7"/>
      <c r="L741" s="37"/>
      <c r="M741" s="3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7"/>
      <c r="L742" s="37"/>
      <c r="M742" s="3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7"/>
      <c r="L743" s="37"/>
      <c r="M743" s="3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7"/>
      <c r="L744" s="37"/>
      <c r="M744" s="3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7"/>
      <c r="L745" s="37"/>
      <c r="M745" s="3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7"/>
      <c r="L746" s="37"/>
      <c r="M746" s="3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7"/>
      <c r="L747" s="37"/>
      <c r="M747" s="3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7"/>
      <c r="L748" s="37"/>
      <c r="M748" s="3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7"/>
      <c r="L749" s="37"/>
      <c r="M749" s="3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7"/>
      <c r="L750" s="37"/>
      <c r="M750" s="3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7"/>
      <c r="L751" s="37"/>
      <c r="M751" s="3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7"/>
      <c r="L752" s="37"/>
      <c r="M752" s="3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7"/>
      <c r="L753" s="37"/>
      <c r="M753" s="3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7"/>
      <c r="L754" s="37"/>
      <c r="M754" s="3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7"/>
      <c r="L755" s="37"/>
      <c r="M755" s="3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7"/>
      <c r="L756" s="37"/>
      <c r="M756" s="3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7"/>
      <c r="L757" s="37"/>
      <c r="M757" s="3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7"/>
      <c r="L758" s="37"/>
      <c r="M758" s="3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7"/>
      <c r="L759" s="37"/>
      <c r="M759" s="3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7"/>
      <c r="L760" s="37"/>
      <c r="M760" s="3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7"/>
      <c r="L761" s="37"/>
      <c r="M761" s="3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7"/>
      <c r="L762" s="37"/>
      <c r="M762" s="3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7"/>
      <c r="L763" s="37"/>
      <c r="M763" s="3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7"/>
      <c r="L764" s="37"/>
      <c r="M764" s="3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7"/>
      <c r="L765" s="37"/>
      <c r="M765" s="3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7"/>
      <c r="L766" s="37"/>
      <c r="M766" s="3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7"/>
      <c r="L767" s="37"/>
      <c r="M767" s="3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7"/>
      <c r="L768" s="37"/>
      <c r="M768" s="3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7"/>
      <c r="L769" s="37"/>
      <c r="M769" s="3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7"/>
      <c r="L770" s="37"/>
      <c r="M770" s="3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7"/>
      <c r="L771" s="37"/>
      <c r="M771" s="3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7"/>
      <c r="L772" s="37"/>
      <c r="M772" s="3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7"/>
      <c r="L773" s="37"/>
      <c r="M773" s="3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7"/>
      <c r="L774" s="37"/>
      <c r="M774" s="3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7"/>
      <c r="L775" s="37"/>
      <c r="M775" s="3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7"/>
      <c r="L776" s="37"/>
      <c r="M776" s="3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7"/>
      <c r="L777" s="37"/>
      <c r="M777" s="3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7"/>
      <c r="L778" s="37"/>
      <c r="M778" s="3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7"/>
      <c r="L779" s="37"/>
      <c r="M779" s="3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7"/>
      <c r="L780" s="37"/>
      <c r="M780" s="3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7"/>
      <c r="L781" s="37"/>
      <c r="M781" s="3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7"/>
      <c r="L782" s="37"/>
      <c r="M782" s="3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7"/>
      <c r="L783" s="37"/>
      <c r="M783" s="3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7"/>
      <c r="L784" s="37"/>
      <c r="M784" s="3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7"/>
      <c r="L785" s="37"/>
      <c r="M785" s="3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7"/>
      <c r="L786" s="37"/>
      <c r="M786" s="3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7"/>
      <c r="L787" s="37"/>
      <c r="M787" s="3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7"/>
      <c r="L788" s="37"/>
      <c r="M788" s="3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7"/>
      <c r="L789" s="37"/>
      <c r="M789" s="3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7"/>
      <c r="L790" s="37"/>
      <c r="M790" s="3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7"/>
      <c r="L791" s="37"/>
      <c r="M791" s="3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7"/>
      <c r="L792" s="37"/>
      <c r="M792" s="3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7"/>
      <c r="L793" s="37"/>
      <c r="M793" s="3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7"/>
      <c r="L794" s="37"/>
      <c r="M794" s="3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7"/>
      <c r="L795" s="37"/>
      <c r="M795" s="3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7"/>
      <c r="L796" s="37"/>
      <c r="M796" s="3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7"/>
      <c r="L797" s="37"/>
      <c r="M797" s="3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7"/>
      <c r="L798" s="37"/>
      <c r="M798" s="3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7"/>
      <c r="L799" s="37"/>
      <c r="M799" s="3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7"/>
      <c r="L800" s="37"/>
      <c r="M800" s="3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7"/>
      <c r="L801" s="37"/>
      <c r="M801" s="3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7"/>
      <c r="L802" s="37"/>
      <c r="M802" s="3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7"/>
      <c r="L803" s="37"/>
      <c r="M803" s="3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7"/>
      <c r="L804" s="37"/>
      <c r="M804" s="3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7"/>
      <c r="L805" s="37"/>
      <c r="M805" s="3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7"/>
      <c r="L806" s="37"/>
      <c r="M806" s="3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7"/>
      <c r="L807" s="37"/>
      <c r="M807" s="3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7"/>
      <c r="L808" s="37"/>
      <c r="M808" s="3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7"/>
      <c r="L809" s="37"/>
      <c r="M809" s="3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7"/>
      <c r="L810" s="37"/>
      <c r="M810" s="3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7"/>
      <c r="L811" s="37"/>
      <c r="M811" s="3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7"/>
      <c r="L812" s="37"/>
      <c r="M812" s="3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7"/>
      <c r="L813" s="37"/>
      <c r="M813" s="3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7"/>
      <c r="L814" s="37"/>
      <c r="M814" s="3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7"/>
      <c r="L815" s="37"/>
      <c r="M815" s="3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7"/>
      <c r="L816" s="37"/>
      <c r="M816" s="3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7"/>
      <c r="L817" s="37"/>
      <c r="M817" s="3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7"/>
      <c r="L818" s="37"/>
      <c r="M818" s="3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7"/>
      <c r="L819" s="37"/>
      <c r="M819" s="3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7"/>
      <c r="L820" s="37"/>
      <c r="M820" s="3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7"/>
      <c r="L821" s="37"/>
      <c r="M821" s="3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7"/>
      <c r="L822" s="37"/>
      <c r="M822" s="3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7"/>
      <c r="L823" s="37"/>
      <c r="M823" s="3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7"/>
      <c r="L824" s="37"/>
      <c r="M824" s="3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7"/>
      <c r="L825" s="37"/>
      <c r="M825" s="3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7"/>
      <c r="L826" s="37"/>
      <c r="M826" s="3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7"/>
      <c r="L827" s="37"/>
      <c r="M827" s="3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7"/>
      <c r="L828" s="37"/>
      <c r="M828" s="3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7"/>
      <c r="L829" s="37"/>
      <c r="M829" s="3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7"/>
      <c r="L830" s="37"/>
      <c r="M830" s="3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7"/>
      <c r="L831" s="37"/>
      <c r="M831" s="3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7"/>
      <c r="L832" s="37"/>
      <c r="M832" s="3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7"/>
      <c r="L833" s="37"/>
      <c r="M833" s="3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7"/>
      <c r="L834" s="37"/>
      <c r="M834" s="3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7"/>
      <c r="L835" s="37"/>
      <c r="M835" s="3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7"/>
      <c r="L836" s="37"/>
      <c r="M836" s="3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7"/>
      <c r="L837" s="37"/>
      <c r="M837" s="3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7"/>
      <c r="L838" s="37"/>
      <c r="M838" s="3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7"/>
      <c r="L839" s="37"/>
      <c r="M839" s="3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7"/>
      <c r="L840" s="37"/>
      <c r="M840" s="3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7"/>
      <c r="L841" s="37"/>
      <c r="M841" s="3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7"/>
      <c r="L842" s="37"/>
      <c r="M842" s="3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7"/>
      <c r="L843" s="37"/>
      <c r="M843" s="3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7"/>
      <c r="L844" s="37"/>
      <c r="M844" s="3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7"/>
      <c r="L845" s="37"/>
      <c r="M845" s="3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7"/>
      <c r="L846" s="37"/>
      <c r="M846" s="3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7"/>
      <c r="L847" s="37"/>
      <c r="M847" s="3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7"/>
      <c r="L848" s="37"/>
      <c r="M848" s="3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7"/>
      <c r="L849" s="37"/>
      <c r="M849" s="3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7"/>
      <c r="L850" s="37"/>
      <c r="M850" s="3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7"/>
      <c r="L851" s="37"/>
      <c r="M851" s="3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7"/>
      <c r="L852" s="37"/>
      <c r="M852" s="3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7"/>
      <c r="L853" s="37"/>
      <c r="M853" s="3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7"/>
      <c r="L854" s="37"/>
      <c r="M854" s="3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7"/>
      <c r="L855" s="37"/>
      <c r="M855" s="3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7"/>
      <c r="L856" s="37"/>
      <c r="M856" s="3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7"/>
      <c r="L857" s="37"/>
      <c r="M857" s="3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7"/>
      <c r="L858" s="37"/>
      <c r="M858" s="3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7"/>
      <c r="L859" s="37"/>
      <c r="M859" s="3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7"/>
      <c r="L860" s="37"/>
      <c r="M860" s="3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7"/>
      <c r="L861" s="37"/>
      <c r="M861" s="3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7"/>
      <c r="L862" s="37"/>
      <c r="M862" s="3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7"/>
      <c r="L863" s="37"/>
      <c r="M863" s="3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7"/>
      <c r="L864" s="37"/>
      <c r="M864" s="3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7"/>
      <c r="L865" s="37"/>
      <c r="M865" s="3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7"/>
      <c r="L866" s="37"/>
      <c r="M866" s="3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7"/>
      <c r="L867" s="37"/>
      <c r="M867" s="3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7"/>
      <c r="L868" s="37"/>
      <c r="M868" s="3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7"/>
      <c r="L869" s="37"/>
      <c r="M869" s="3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7"/>
      <c r="L870" s="37"/>
      <c r="M870" s="3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7"/>
      <c r="L871" s="37"/>
      <c r="M871" s="3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7"/>
      <c r="L872" s="37"/>
      <c r="M872" s="3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7"/>
      <c r="L873" s="37"/>
      <c r="M873" s="3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7"/>
      <c r="L874" s="37"/>
      <c r="M874" s="3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7"/>
      <c r="L875" s="37"/>
      <c r="M875" s="3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7"/>
      <c r="L876" s="37"/>
      <c r="M876" s="3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7"/>
      <c r="L877" s="37"/>
      <c r="M877" s="3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7"/>
      <c r="L878" s="37"/>
      <c r="M878" s="3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7"/>
      <c r="L879" s="37"/>
      <c r="M879" s="3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7"/>
      <c r="L880" s="37"/>
      <c r="M880" s="3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7"/>
      <c r="L881" s="37"/>
      <c r="M881" s="3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7"/>
      <c r="L882" s="37"/>
      <c r="M882" s="3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7"/>
      <c r="L883" s="37"/>
      <c r="M883" s="3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7"/>
      <c r="L884" s="37"/>
      <c r="M884" s="3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7"/>
      <c r="L885" s="37"/>
      <c r="M885" s="3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7"/>
      <c r="L886" s="37"/>
      <c r="M886" s="3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7"/>
      <c r="L887" s="37"/>
      <c r="M887" s="3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7"/>
      <c r="L888" s="37"/>
      <c r="M888" s="3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7"/>
      <c r="L889" s="37"/>
      <c r="M889" s="3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7"/>
      <c r="L890" s="37"/>
      <c r="M890" s="3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7"/>
      <c r="L891" s="37"/>
      <c r="M891" s="3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7"/>
      <c r="L892" s="37"/>
      <c r="M892" s="3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7"/>
      <c r="L893" s="37"/>
      <c r="M893" s="3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7"/>
      <c r="L894" s="37"/>
      <c r="M894" s="3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7"/>
      <c r="L895" s="37"/>
      <c r="M895" s="3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7"/>
      <c r="L896" s="37"/>
      <c r="M896" s="3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7"/>
      <c r="L897" s="37"/>
      <c r="M897" s="3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7"/>
      <c r="L898" s="37"/>
      <c r="M898" s="3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7"/>
      <c r="L899" s="37"/>
      <c r="M899" s="3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7"/>
      <c r="L900" s="37"/>
      <c r="M900" s="3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7"/>
      <c r="L901" s="37"/>
      <c r="M901" s="3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7"/>
      <c r="L902" s="37"/>
      <c r="M902" s="3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7"/>
      <c r="L903" s="37"/>
      <c r="M903" s="3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7"/>
      <c r="L904" s="37"/>
      <c r="M904" s="3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7"/>
      <c r="L905" s="37"/>
      <c r="M905" s="3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7"/>
      <c r="L906" s="37"/>
      <c r="M906" s="3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7"/>
      <c r="L907" s="37"/>
      <c r="M907" s="3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7"/>
      <c r="L908" s="37"/>
      <c r="M908" s="3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7"/>
      <c r="L909" s="37"/>
      <c r="M909" s="3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7"/>
      <c r="L910" s="37"/>
      <c r="M910" s="3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7"/>
      <c r="L911" s="37"/>
      <c r="M911" s="3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7"/>
      <c r="L912" s="37"/>
      <c r="M912" s="3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7"/>
      <c r="L913" s="37"/>
      <c r="M913" s="3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7"/>
      <c r="L914" s="37"/>
      <c r="M914" s="3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7"/>
      <c r="L915" s="37"/>
      <c r="M915" s="3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7"/>
      <c r="L916" s="37"/>
      <c r="M916" s="3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7"/>
      <c r="L917" s="37"/>
      <c r="M917" s="3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7"/>
      <c r="L918" s="37"/>
      <c r="M918" s="3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7"/>
      <c r="L919" s="37"/>
      <c r="M919" s="3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7"/>
      <c r="L920" s="37"/>
      <c r="M920" s="3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7"/>
      <c r="L921" s="37"/>
      <c r="M921" s="3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7"/>
      <c r="L922" s="37"/>
      <c r="M922" s="3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7"/>
      <c r="L923" s="37"/>
      <c r="M923" s="3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7"/>
      <c r="L924" s="37"/>
      <c r="M924" s="3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7"/>
      <c r="L925" s="37"/>
      <c r="M925" s="3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7"/>
      <c r="L926" s="37"/>
      <c r="M926" s="3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7"/>
      <c r="L927" s="37"/>
      <c r="M927" s="3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7"/>
      <c r="L928" s="37"/>
      <c r="M928" s="3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7"/>
      <c r="L929" s="37"/>
      <c r="M929" s="3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7"/>
      <c r="L930" s="37"/>
      <c r="M930" s="3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7"/>
      <c r="L931" s="37"/>
      <c r="M931" s="3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7"/>
      <c r="L932" s="37"/>
      <c r="M932" s="3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7"/>
      <c r="L933" s="37"/>
      <c r="M933" s="3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7"/>
      <c r="L934" s="37"/>
      <c r="M934" s="3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7"/>
      <c r="L935" s="37"/>
      <c r="M935" s="3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7"/>
      <c r="L936" s="37"/>
      <c r="M936" s="3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7"/>
      <c r="L937" s="37"/>
      <c r="M937" s="3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7"/>
      <c r="L938" s="37"/>
      <c r="M938" s="3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7"/>
      <c r="L939" s="37"/>
      <c r="M939" s="3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7"/>
      <c r="L940" s="37"/>
      <c r="M940" s="3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7"/>
      <c r="L941" s="37"/>
      <c r="M941" s="3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7"/>
      <c r="L942" s="37"/>
      <c r="M942" s="3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7"/>
      <c r="L943" s="37"/>
      <c r="M943" s="3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7"/>
      <c r="L944" s="37"/>
      <c r="M944" s="3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7"/>
      <c r="L945" s="37"/>
      <c r="M945" s="3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7"/>
      <c r="L946" s="37"/>
      <c r="M946" s="3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7"/>
      <c r="L947" s="37"/>
      <c r="M947" s="3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7"/>
      <c r="L948" s="37"/>
      <c r="M948" s="3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7"/>
      <c r="L949" s="37"/>
      <c r="M949" s="3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7"/>
      <c r="L950" s="37"/>
      <c r="M950" s="3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7"/>
      <c r="L951" s="37"/>
      <c r="M951" s="3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7"/>
      <c r="L952" s="37"/>
      <c r="M952" s="3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7"/>
      <c r="L953" s="37"/>
      <c r="M953" s="3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7"/>
      <c r="L954" s="37"/>
      <c r="M954" s="3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7"/>
      <c r="L955" s="37"/>
      <c r="M955" s="3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7"/>
      <c r="L956" s="37"/>
      <c r="M956" s="3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7"/>
      <c r="L957" s="37"/>
      <c r="M957" s="3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7"/>
      <c r="L958" s="37"/>
      <c r="M958" s="3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7"/>
      <c r="L959" s="37"/>
      <c r="M959" s="3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7"/>
      <c r="L960" s="37"/>
      <c r="M960" s="3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7"/>
      <c r="L961" s="37"/>
      <c r="M961" s="3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7"/>
      <c r="L962" s="37"/>
      <c r="M962" s="3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7"/>
      <c r="L963" s="37"/>
      <c r="M963" s="3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7"/>
      <c r="L964" s="37"/>
      <c r="M964" s="3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7"/>
      <c r="L965" s="37"/>
      <c r="M965" s="3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7"/>
      <c r="L966" s="37"/>
      <c r="M966" s="3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7"/>
      <c r="L967" s="37"/>
      <c r="M967" s="3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7"/>
      <c r="L968" s="37"/>
      <c r="M968" s="3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7"/>
      <c r="L969" s="37"/>
      <c r="M969" s="3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7"/>
      <c r="L970" s="37"/>
      <c r="M970" s="3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7"/>
      <c r="L971" s="37"/>
      <c r="M971" s="3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7"/>
      <c r="L972" s="37"/>
      <c r="M972" s="3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7"/>
      <c r="L973" s="37"/>
      <c r="M973" s="3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7"/>
      <c r="L974" s="37"/>
      <c r="M974" s="3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7"/>
      <c r="L975" s="37"/>
      <c r="M975" s="3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7"/>
      <c r="L976" s="37"/>
      <c r="M976" s="3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7"/>
      <c r="L977" s="37"/>
      <c r="M977" s="3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7"/>
      <c r="L978" s="37"/>
      <c r="M978" s="3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7"/>
      <c r="L979" s="37"/>
      <c r="M979" s="3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7"/>
      <c r="L980" s="37"/>
      <c r="M980" s="3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7"/>
      <c r="L981" s="37"/>
      <c r="M981" s="3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7"/>
      <c r="L982" s="37"/>
      <c r="M982" s="3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7"/>
      <c r="L983" s="37"/>
      <c r="M983" s="3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7"/>
      <c r="L984" s="37"/>
      <c r="M984" s="3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7"/>
      <c r="L985" s="37"/>
      <c r="M985" s="3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7"/>
      <c r="L986" s="37"/>
      <c r="M986" s="3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7"/>
      <c r="L987" s="37"/>
      <c r="M987" s="3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7"/>
      <c r="L988" s="37"/>
      <c r="M988" s="3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7"/>
      <c r="L989" s="37"/>
      <c r="M989" s="3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7"/>
      <c r="L990" s="37"/>
      <c r="M990" s="3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7"/>
      <c r="L991" s="37"/>
      <c r="M991" s="3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7"/>
      <c r="L992" s="37"/>
      <c r="M992" s="3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7"/>
      <c r="L993" s="37"/>
      <c r="M993" s="3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7"/>
      <c r="L994" s="37"/>
      <c r="M994" s="3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7"/>
      <c r="L995" s="37"/>
      <c r="M995" s="3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7"/>
      <c r="L996" s="37"/>
      <c r="M996" s="3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7"/>
      <c r="L997" s="37"/>
      <c r="M997" s="3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7"/>
      <c r="L998" s="37"/>
      <c r="M998" s="3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7"/>
      <c r="L999" s="37"/>
      <c r="M999" s="3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7"/>
      <c r="L1000" s="37"/>
      <c r="M1000" s="3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37"/>
      <c r="L1001" s="37"/>
      <c r="M1001" s="37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37"/>
      <c r="L1002" s="37"/>
      <c r="M1002" s="37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37"/>
      <c r="L1003" s="37"/>
      <c r="M1003" s="37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37"/>
      <c r="L1004" s="37"/>
      <c r="M1004" s="37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2.0"/>
    <col customWidth="1" min="4" max="4" width="18.0"/>
    <col customWidth="1" min="5" max="24" width="10.0"/>
    <col customWidth="1" min="25" max="25" width="20.0"/>
    <col customWidth="1" min="26" max="26" width="12.0"/>
    <col customWidth="1" min="27" max="28" width="8.71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4</v>
      </c>
      <c r="L1" s="1" t="s">
        <v>5</v>
      </c>
      <c r="M1" s="1" t="s">
        <v>6</v>
      </c>
      <c r="N1" s="1" t="s">
        <v>7</v>
      </c>
      <c r="O1" s="3" t="s">
        <v>8</v>
      </c>
      <c r="P1" s="4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3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5"/>
      <c r="AB1" s="5"/>
    </row>
    <row r="2" ht="19.5" customHeight="1">
      <c r="A2" s="6" t="s">
        <v>20</v>
      </c>
      <c r="B2" s="6"/>
      <c r="C2" s="7"/>
      <c r="D2" s="7"/>
      <c r="E2" s="6"/>
      <c r="F2" s="6"/>
      <c r="G2" s="6"/>
      <c r="H2" s="8"/>
      <c r="I2" s="9">
        <f t="shared" ref="I2:J2" si="1">AVERAGE(I6:I17)</f>
        <v>0.3888888889</v>
      </c>
      <c r="J2" s="9">
        <f t="shared" si="1"/>
        <v>0.7592592593</v>
      </c>
      <c r="K2" s="6"/>
      <c r="L2" s="6"/>
      <c r="M2" s="6"/>
      <c r="N2" s="8"/>
      <c r="O2" s="9">
        <f t="shared" ref="O2:P2" si="2">AVERAGE(O6:O17)</f>
        <v>0.5277777778</v>
      </c>
      <c r="P2" s="9">
        <f t="shared" si="2"/>
        <v>0.5909090909</v>
      </c>
      <c r="Q2" s="10"/>
      <c r="R2" s="6"/>
      <c r="S2" s="6"/>
      <c r="T2" s="8"/>
      <c r="U2" s="9">
        <f>AVERAGE(U6:U17)</f>
        <v>0.5555555556</v>
      </c>
      <c r="V2" s="11"/>
      <c r="W2" s="12"/>
      <c r="X2" s="12"/>
      <c r="Y2" s="13"/>
      <c r="Z2" s="7"/>
      <c r="AA2" s="5"/>
      <c r="AB2" s="5"/>
    </row>
    <row r="3" ht="19.5" customHeight="1">
      <c r="A3" s="6" t="s">
        <v>21</v>
      </c>
      <c r="B3" s="6"/>
      <c r="C3" s="7"/>
      <c r="D3" s="7"/>
      <c r="E3" s="6"/>
      <c r="F3" s="6"/>
      <c r="G3" s="6"/>
      <c r="H3" s="8"/>
      <c r="I3" s="9">
        <f t="shared" ref="I3:J3" si="3">AVERAGE(I18:I53)</f>
        <v>0.3240740741</v>
      </c>
      <c r="J3" s="9">
        <f t="shared" si="3"/>
        <v>0.8103448276</v>
      </c>
      <c r="K3" s="6"/>
      <c r="L3" s="6"/>
      <c r="M3" s="6"/>
      <c r="N3" s="8"/>
      <c r="O3" s="9">
        <f t="shared" ref="O3:P3" si="4">AVERAGE(O18:O53)</f>
        <v>0.6111111111</v>
      </c>
      <c r="P3" s="9">
        <f t="shared" si="4"/>
        <v>0.6435185185</v>
      </c>
      <c r="Q3" s="10"/>
      <c r="R3" s="6"/>
      <c r="S3" s="6"/>
      <c r="T3" s="8"/>
      <c r="U3" s="9">
        <f>AVERAGE(U18:U53)</f>
        <v>0.6296296296</v>
      </c>
      <c r="V3" s="11"/>
      <c r="W3" s="12"/>
      <c r="X3" s="12"/>
      <c r="Y3" s="13"/>
      <c r="Z3" s="7"/>
      <c r="AA3" s="5"/>
      <c r="AB3" s="5"/>
    </row>
    <row r="4" ht="19.5" customHeight="1">
      <c r="A4" s="6" t="s">
        <v>22</v>
      </c>
      <c r="B4" s="6"/>
      <c r="C4" s="7"/>
      <c r="D4" s="7"/>
      <c r="E4" s="6" t="s">
        <v>20</v>
      </c>
      <c r="F4" s="6" t="s">
        <v>21</v>
      </c>
      <c r="G4" s="6" t="s">
        <v>22</v>
      </c>
      <c r="H4" s="8"/>
      <c r="I4" s="9">
        <f t="shared" ref="I4:J4" si="5">AVERAGE(I54:I89)</f>
        <v>0.1203703704</v>
      </c>
      <c r="J4" s="9">
        <f t="shared" si="5"/>
        <v>0.8214285714</v>
      </c>
      <c r="K4" s="6" t="s">
        <v>20</v>
      </c>
      <c r="L4" s="6" t="s">
        <v>21</v>
      </c>
      <c r="M4" s="6" t="s">
        <v>22</v>
      </c>
      <c r="N4" s="8"/>
      <c r="O4" s="9">
        <f t="shared" ref="O4:P4" si="6">AVERAGE(O54:O89)</f>
        <v>0.4074074074</v>
      </c>
      <c r="P4" s="9">
        <f t="shared" si="6"/>
        <v>0.5</v>
      </c>
      <c r="Q4" s="6" t="s">
        <v>20</v>
      </c>
      <c r="R4" s="6" t="s">
        <v>21</v>
      </c>
      <c r="S4" s="6" t="s">
        <v>22</v>
      </c>
      <c r="T4" s="8"/>
      <c r="U4" s="9">
        <f>AVERAGE(U54:U89)</f>
        <v>0.6666666667</v>
      </c>
      <c r="V4" s="11"/>
      <c r="W4" s="12"/>
      <c r="X4" s="12"/>
      <c r="Y4" s="13"/>
      <c r="Z4" s="7"/>
      <c r="AA4" s="5"/>
      <c r="AB4" s="5"/>
    </row>
    <row r="5" ht="19.5" customHeight="1">
      <c r="A5" s="6" t="s">
        <v>23</v>
      </c>
      <c r="B5" s="6"/>
      <c r="C5" s="7"/>
      <c r="D5" s="14" t="s">
        <v>24</v>
      </c>
      <c r="E5" s="6">
        <f>COUNTIF(E6:G17, "X")</f>
        <v>18</v>
      </c>
      <c r="F5" s="6">
        <f>COUNTIF(F18:G53, "X")</f>
        <v>44</v>
      </c>
      <c r="G5" s="6">
        <f>COUNTIF(F54:G89, "X")</f>
        <v>60</v>
      </c>
      <c r="H5" s="15"/>
      <c r="I5" s="9">
        <f t="shared" ref="I5:J5" si="7">AVERAGE(I6:I89)</f>
        <v>0.246031746</v>
      </c>
      <c r="J5" s="9">
        <f t="shared" si="7"/>
        <v>0.8044871795</v>
      </c>
      <c r="K5" s="6">
        <f>COUNTIF(K6:M17, "X")</f>
        <v>4</v>
      </c>
      <c r="L5" s="6">
        <f>COUNTIF(L18:M53, "X")</f>
        <v>3</v>
      </c>
      <c r="M5" s="6">
        <f>COUNTIF(L54:M89, "X")</f>
        <v>13</v>
      </c>
      <c r="N5" s="15"/>
      <c r="O5" s="9">
        <f t="shared" ref="O5:P5" si="8">AVERAGE(O6:O89)</f>
        <v>0.5119047619</v>
      </c>
      <c r="P5" s="9">
        <f t="shared" si="8"/>
        <v>0.5761316872</v>
      </c>
      <c r="Q5" s="6">
        <f>COUNTIF(Q6:S17, "X")</f>
        <v>0</v>
      </c>
      <c r="R5" s="6">
        <f>COUNTIF(R18:S53, "X")</f>
        <v>0</v>
      </c>
      <c r="S5" s="6">
        <f>COUNTIF(R54:S89, "X")</f>
        <v>0</v>
      </c>
      <c r="T5" s="8"/>
      <c r="U5" s="9">
        <f>AVERAGE(U6:U89)</f>
        <v>0.6349206349</v>
      </c>
      <c r="V5" s="11"/>
      <c r="W5" s="12"/>
      <c r="X5" s="12"/>
      <c r="Y5" s="13"/>
      <c r="Z5" s="7"/>
      <c r="AA5" s="5"/>
      <c r="AB5" s="5"/>
    </row>
    <row r="6" ht="19.5" customHeight="1">
      <c r="A6" s="6">
        <v>601.0</v>
      </c>
      <c r="B6" s="6" t="s">
        <v>25</v>
      </c>
      <c r="C6" s="7" t="s">
        <v>26</v>
      </c>
      <c r="D6" s="7" t="s">
        <v>27</v>
      </c>
      <c r="E6" s="16" t="s">
        <v>28</v>
      </c>
      <c r="F6" s="16" t="s">
        <v>29</v>
      </c>
      <c r="G6" s="16" t="s">
        <v>31</v>
      </c>
      <c r="H6" s="18">
        <f t="shared" ref="H6:H7" si="9">IF(E6="","",IF(E6=V6,1,0))+IF(F6="","",IF(F6=W6,1,0))+IF(G6="","",IF(G6=X6,1,0))</f>
        <v>2</v>
      </c>
      <c r="I6" s="19">
        <f t="shared" ref="I6:I7" si="10">IF(H6="","",H6/3)</f>
        <v>0.6666666667</v>
      </c>
      <c r="J6" s="20">
        <f t="shared" ref="J6:J89" si="11">IFERROR((IF(E6=V6,1,0) + IF(F6=W6,1,0) + IF(G6=X6,1,0)) / COUNTIFS(E6:G6, "&lt;&gt;X", E6:G6, "&lt;&gt;"), "XXX")</f>
        <v>0.6666666667</v>
      </c>
      <c r="K6" s="16" t="s">
        <v>28</v>
      </c>
      <c r="L6" s="16" t="s">
        <v>29</v>
      </c>
      <c r="M6" s="16" t="s">
        <v>31</v>
      </c>
      <c r="N6" s="18">
        <f t="shared" ref="N6:N89" si="12">IF(K6="","",IF(K6=V6,1,0))+IF(L6="","",IF(L6=W6,1,0))+IF(M6="","",IF(M6=X6,1,0))</f>
        <v>2</v>
      </c>
      <c r="O6" s="19">
        <f t="shared" ref="O6:O7" si="13">IF(N6="","",N6/3)</f>
        <v>0.6666666667</v>
      </c>
      <c r="P6" s="20">
        <f t="shared" ref="P6:P89" si="14">IFERROR((IF(K6=V6,1,0) + IF(L6=W6,1,0) + IF(M6=X6,1,0)) / COUNTIFS(K6:M6, "&lt;&gt;X", K6:M6, "&lt;&gt;"), "XXX")</f>
        <v>0.6666666667</v>
      </c>
      <c r="Q6" s="6" t="s">
        <v>28</v>
      </c>
      <c r="R6" s="6" t="s">
        <v>29</v>
      </c>
      <c r="S6" s="6" t="s">
        <v>31</v>
      </c>
      <c r="T6" s="18">
        <f t="shared" ref="T6:T7" si="15">IF(Q6="","",IF(Q6=V6,1,0))+IF(R6="","",IF(R6=W6,1,0))+IF(S6="","",IF(S6=X6,1,0))</f>
        <v>2</v>
      </c>
      <c r="U6" s="23">
        <f t="shared" ref="U6:U7" si="16">IF(T6="","",T6/3)</f>
        <v>0.6666666667</v>
      </c>
      <c r="V6" s="12" t="s">
        <v>31</v>
      </c>
      <c r="W6" s="12" t="s">
        <v>29</v>
      </c>
      <c r="X6" s="12" t="s">
        <v>31</v>
      </c>
      <c r="Y6" s="13">
        <v>46130.0</v>
      </c>
      <c r="Z6" s="7" t="s">
        <v>52</v>
      </c>
      <c r="AA6" s="5"/>
      <c r="AB6" s="5"/>
    </row>
    <row r="7">
      <c r="A7" s="21">
        <v>622.0</v>
      </c>
      <c r="B7" s="6" t="s">
        <v>25</v>
      </c>
      <c r="C7" s="7" t="s">
        <v>26</v>
      </c>
      <c r="D7" s="21" t="s">
        <v>32</v>
      </c>
      <c r="E7" s="22" t="s">
        <v>31</v>
      </c>
      <c r="F7" s="22" t="s">
        <v>33</v>
      </c>
      <c r="G7" s="22" t="s">
        <v>29</v>
      </c>
      <c r="H7" s="18">
        <f t="shared" si="9"/>
        <v>3</v>
      </c>
      <c r="I7" s="23">
        <f t="shared" si="10"/>
        <v>1</v>
      </c>
      <c r="J7" s="20">
        <f t="shared" si="11"/>
        <v>1</v>
      </c>
      <c r="K7" s="22" t="s">
        <v>31</v>
      </c>
      <c r="L7" s="22" t="s">
        <v>33</v>
      </c>
      <c r="M7" s="22" t="s">
        <v>29</v>
      </c>
      <c r="N7" s="18">
        <f t="shared" si="12"/>
        <v>3</v>
      </c>
      <c r="O7" s="23">
        <f t="shared" si="13"/>
        <v>1</v>
      </c>
      <c r="P7" s="20">
        <f t="shared" si="14"/>
        <v>1</v>
      </c>
      <c r="Q7" s="6" t="s">
        <v>31</v>
      </c>
      <c r="R7" s="6" t="s">
        <v>33</v>
      </c>
      <c r="S7" s="6" t="s">
        <v>29</v>
      </c>
      <c r="T7" s="18">
        <f t="shared" si="15"/>
        <v>3</v>
      </c>
      <c r="U7" s="23">
        <f t="shared" si="16"/>
        <v>1</v>
      </c>
      <c r="V7" s="12" t="s">
        <v>31</v>
      </c>
      <c r="W7" s="12" t="s">
        <v>33</v>
      </c>
      <c r="X7" s="12" t="s">
        <v>29</v>
      </c>
      <c r="Y7" s="24">
        <v>46130.0</v>
      </c>
      <c r="Z7" s="5"/>
      <c r="AA7" s="5"/>
      <c r="AB7" s="5"/>
    </row>
    <row r="8">
      <c r="A8" s="21">
        <v>641.0</v>
      </c>
      <c r="B8" s="6" t="s">
        <v>25</v>
      </c>
      <c r="C8" s="7" t="s">
        <v>26</v>
      </c>
      <c r="D8" s="21" t="s">
        <v>34</v>
      </c>
      <c r="E8" s="16" t="s">
        <v>29</v>
      </c>
      <c r="F8" s="17" t="s">
        <v>30</v>
      </c>
      <c r="G8" s="16" t="s">
        <v>33</v>
      </c>
      <c r="H8" s="25">
        <f t="shared" ref="H8:H89" si="17">IF(E8="","",IF(E8=V8,1,0))+IF(F8="","",IF(F8=W8,1,0))+IF(G8="","",IF(G8=X8,1,0))</f>
        <v>1</v>
      </c>
      <c r="I8" s="26">
        <f t="shared" ref="I8:I89" si="18">IF(H8="","",H8/3)</f>
        <v>0.3333333333</v>
      </c>
      <c r="J8" s="20">
        <f t="shared" si="11"/>
        <v>0.5</v>
      </c>
      <c r="K8" s="16" t="s">
        <v>29</v>
      </c>
      <c r="L8" s="16" t="s">
        <v>29</v>
      </c>
      <c r="M8" s="16" t="s">
        <v>33</v>
      </c>
      <c r="N8" s="18">
        <f t="shared" si="12"/>
        <v>1</v>
      </c>
      <c r="O8" s="26">
        <f t="shared" ref="O8:O89" si="19">IF(N8="","",N8/3)</f>
        <v>0.3333333333</v>
      </c>
      <c r="P8" s="20">
        <f t="shared" si="14"/>
        <v>0.3333333333</v>
      </c>
      <c r="Q8" s="27" t="s">
        <v>29</v>
      </c>
      <c r="R8" s="27" t="s">
        <v>31</v>
      </c>
      <c r="S8" s="27" t="s">
        <v>33</v>
      </c>
      <c r="T8" s="25">
        <f t="shared" ref="T8:T89" si="20">IF(Q8="","",IF(Q8=V8,1,0))+IF(R8="","",IF(R8=W8,1,0))+IF(S8="","",IF(S8=X8,1,0))</f>
        <v>2</v>
      </c>
      <c r="U8" s="26">
        <f t="shared" ref="U8:U89" si="21">IF(T8="","",T8/3)</f>
        <v>0.6666666667</v>
      </c>
      <c r="V8" s="28" t="s">
        <v>31</v>
      </c>
      <c r="W8" s="28" t="s">
        <v>31</v>
      </c>
      <c r="X8" s="28" t="s">
        <v>33</v>
      </c>
      <c r="Y8" s="5"/>
      <c r="Z8" s="5"/>
      <c r="AA8" s="5"/>
      <c r="AB8" s="5"/>
    </row>
    <row r="9">
      <c r="A9" s="21">
        <v>681.0</v>
      </c>
      <c r="B9" s="6" t="s">
        <v>25</v>
      </c>
      <c r="C9" s="7" t="s">
        <v>26</v>
      </c>
      <c r="D9" s="21" t="s">
        <v>35</v>
      </c>
      <c r="E9" s="22" t="s">
        <v>31</v>
      </c>
      <c r="F9" s="22" t="s">
        <v>28</v>
      </c>
      <c r="G9" s="22" t="s">
        <v>29</v>
      </c>
      <c r="H9" s="25">
        <f t="shared" si="17"/>
        <v>2</v>
      </c>
      <c r="I9" s="26">
        <f t="shared" si="18"/>
        <v>0.6666666667</v>
      </c>
      <c r="J9" s="20">
        <f t="shared" si="11"/>
        <v>0.6666666667</v>
      </c>
      <c r="K9" s="22" t="s">
        <v>29</v>
      </c>
      <c r="L9" s="22" t="s">
        <v>28</v>
      </c>
      <c r="M9" s="22" t="s">
        <v>29</v>
      </c>
      <c r="N9" s="18">
        <f t="shared" si="12"/>
        <v>1</v>
      </c>
      <c r="O9" s="26">
        <f t="shared" si="19"/>
        <v>0.3333333333</v>
      </c>
      <c r="P9" s="20">
        <f t="shared" si="14"/>
        <v>0.3333333333</v>
      </c>
      <c r="Q9" s="27" t="s">
        <v>29</v>
      </c>
      <c r="R9" s="27" t="s">
        <v>28</v>
      </c>
      <c r="S9" s="27" t="s">
        <v>28</v>
      </c>
      <c r="T9" s="25">
        <f t="shared" si="20"/>
        <v>1</v>
      </c>
      <c r="U9" s="26">
        <f t="shared" si="21"/>
        <v>0.3333333333</v>
      </c>
      <c r="V9" s="28" t="s">
        <v>31</v>
      </c>
      <c r="W9" s="28" t="s">
        <v>28</v>
      </c>
      <c r="X9" s="28" t="s">
        <v>33</v>
      </c>
      <c r="Y9" s="5"/>
      <c r="Z9" s="5"/>
      <c r="AA9" s="5"/>
      <c r="AB9" s="5"/>
    </row>
    <row r="10">
      <c r="A10" s="21">
        <v>692.0</v>
      </c>
      <c r="B10" s="6" t="s">
        <v>25</v>
      </c>
      <c r="C10" s="21" t="s">
        <v>36</v>
      </c>
      <c r="D10" s="21" t="s">
        <v>37</v>
      </c>
      <c r="E10" s="17" t="s">
        <v>30</v>
      </c>
      <c r="F10" s="17" t="s">
        <v>30</v>
      </c>
      <c r="G10" s="17" t="s">
        <v>30</v>
      </c>
      <c r="H10" s="25">
        <f t="shared" si="17"/>
        <v>0</v>
      </c>
      <c r="I10" s="26">
        <f t="shared" si="18"/>
        <v>0</v>
      </c>
      <c r="J10" s="20" t="str">
        <f t="shared" si="11"/>
        <v>XXX</v>
      </c>
      <c r="K10" s="17" t="s">
        <v>30</v>
      </c>
      <c r="L10" s="17" t="s">
        <v>30</v>
      </c>
      <c r="M10" s="17" t="s">
        <v>30</v>
      </c>
      <c r="N10" s="18">
        <f t="shared" si="12"/>
        <v>0</v>
      </c>
      <c r="O10" s="26">
        <f t="shared" si="19"/>
        <v>0</v>
      </c>
      <c r="P10" s="20" t="str">
        <f t="shared" si="14"/>
        <v>XXX</v>
      </c>
      <c r="Q10" s="27" t="s">
        <v>31</v>
      </c>
      <c r="R10" s="27" t="s">
        <v>28</v>
      </c>
      <c r="S10" s="27" t="s">
        <v>28</v>
      </c>
      <c r="T10" s="25">
        <f t="shared" si="20"/>
        <v>0</v>
      </c>
      <c r="U10" s="26">
        <f t="shared" si="21"/>
        <v>0</v>
      </c>
      <c r="V10" s="28" t="s">
        <v>33</v>
      </c>
      <c r="W10" s="28" t="s">
        <v>33</v>
      </c>
      <c r="X10" s="28" t="s">
        <v>29</v>
      </c>
      <c r="Y10" s="5"/>
      <c r="Z10" s="5"/>
      <c r="AA10" s="5"/>
      <c r="AB10" s="5"/>
    </row>
    <row r="11">
      <c r="A11" s="21">
        <v>702.0</v>
      </c>
      <c r="B11" s="6" t="s">
        <v>25</v>
      </c>
      <c r="C11" s="21" t="s">
        <v>36</v>
      </c>
      <c r="D11" s="21" t="s">
        <v>38</v>
      </c>
      <c r="E11" s="17" t="s">
        <v>30</v>
      </c>
      <c r="F11" s="17" t="s">
        <v>30</v>
      </c>
      <c r="G11" s="17" t="s">
        <v>30</v>
      </c>
      <c r="H11" s="29">
        <f t="shared" si="17"/>
        <v>0</v>
      </c>
      <c r="I11" s="30">
        <f t="shared" si="18"/>
        <v>0</v>
      </c>
      <c r="J11" s="20" t="str">
        <f t="shared" si="11"/>
        <v>XXX</v>
      </c>
      <c r="K11" s="17" t="s">
        <v>30</v>
      </c>
      <c r="L11" s="22" t="s">
        <v>33</v>
      </c>
      <c r="M11" s="22" t="s">
        <v>29</v>
      </c>
      <c r="N11" s="18">
        <f t="shared" si="12"/>
        <v>1</v>
      </c>
      <c r="O11" s="30">
        <f t="shared" si="19"/>
        <v>0.3333333333</v>
      </c>
      <c r="P11" s="20">
        <f t="shared" si="14"/>
        <v>0.5</v>
      </c>
      <c r="Q11" s="31" t="s">
        <v>29</v>
      </c>
      <c r="R11" s="31" t="s">
        <v>29</v>
      </c>
      <c r="S11" s="31" t="s">
        <v>29</v>
      </c>
      <c r="T11" s="29">
        <f t="shared" si="20"/>
        <v>1</v>
      </c>
      <c r="U11" s="30">
        <f t="shared" si="21"/>
        <v>0.3333333333</v>
      </c>
      <c r="V11" s="32" t="s">
        <v>29</v>
      </c>
      <c r="W11" s="32" t="s">
        <v>33</v>
      </c>
      <c r="X11" s="32" t="s">
        <v>28</v>
      </c>
      <c r="Y11" s="5"/>
      <c r="Z11" s="5"/>
      <c r="AA11" s="5"/>
      <c r="AB11" s="5"/>
    </row>
    <row r="12">
      <c r="A12" s="21">
        <v>711.0</v>
      </c>
      <c r="B12" s="6" t="s">
        <v>25</v>
      </c>
      <c r="C12" s="21" t="s">
        <v>36</v>
      </c>
      <c r="D12" s="21" t="s">
        <v>39</v>
      </c>
      <c r="E12" s="17" t="s">
        <v>30</v>
      </c>
      <c r="F12" s="17" t="s">
        <v>30</v>
      </c>
      <c r="G12" s="17" t="s">
        <v>30</v>
      </c>
      <c r="H12" s="29">
        <f t="shared" si="17"/>
        <v>0</v>
      </c>
      <c r="I12" s="30">
        <f t="shared" si="18"/>
        <v>0</v>
      </c>
      <c r="J12" s="20" t="str">
        <f t="shared" si="11"/>
        <v>XXX</v>
      </c>
      <c r="K12" s="16" t="s">
        <v>33</v>
      </c>
      <c r="L12" s="16" t="s">
        <v>28</v>
      </c>
      <c r="M12" s="16" t="s">
        <v>29</v>
      </c>
      <c r="N12" s="18">
        <f t="shared" si="12"/>
        <v>2</v>
      </c>
      <c r="O12" s="30">
        <f t="shared" si="19"/>
        <v>0.6666666667</v>
      </c>
      <c r="P12" s="20">
        <f t="shared" si="14"/>
        <v>0.6666666667</v>
      </c>
      <c r="Q12" s="31" t="s">
        <v>28</v>
      </c>
      <c r="R12" s="31" t="s">
        <v>33</v>
      </c>
      <c r="S12" s="31" t="s">
        <v>33</v>
      </c>
      <c r="T12" s="29">
        <f t="shared" si="20"/>
        <v>1</v>
      </c>
      <c r="U12" s="30">
        <f t="shared" si="21"/>
        <v>0.3333333333</v>
      </c>
      <c r="V12" s="32" t="s">
        <v>28</v>
      </c>
      <c r="W12" s="32" t="s">
        <v>28</v>
      </c>
      <c r="X12" s="32" t="s">
        <v>29</v>
      </c>
      <c r="Y12" s="5"/>
      <c r="Z12" s="5"/>
      <c r="AA12" s="5"/>
      <c r="AB12" s="5"/>
    </row>
    <row r="13">
      <c r="A13" s="21">
        <v>721.0</v>
      </c>
      <c r="B13" s="6" t="s">
        <v>25</v>
      </c>
      <c r="C13" s="21" t="s">
        <v>36</v>
      </c>
      <c r="D13" s="21" t="s">
        <v>40</v>
      </c>
      <c r="E13" s="22" t="s">
        <v>33</v>
      </c>
      <c r="F13" s="17" t="s">
        <v>30</v>
      </c>
      <c r="G13" s="17" t="s">
        <v>30</v>
      </c>
      <c r="H13" s="29">
        <f t="shared" si="17"/>
        <v>1</v>
      </c>
      <c r="I13" s="30">
        <f t="shared" si="18"/>
        <v>0.3333333333</v>
      </c>
      <c r="J13" s="20">
        <f t="shared" si="11"/>
        <v>1</v>
      </c>
      <c r="K13" s="22" t="s">
        <v>33</v>
      </c>
      <c r="L13" s="22" t="s">
        <v>29</v>
      </c>
      <c r="M13" s="22" t="s">
        <v>33</v>
      </c>
      <c r="N13" s="18">
        <f t="shared" si="12"/>
        <v>2</v>
      </c>
      <c r="O13" s="30">
        <f t="shared" si="19"/>
        <v>0.6666666667</v>
      </c>
      <c r="P13" s="20">
        <f t="shared" si="14"/>
        <v>0.6666666667</v>
      </c>
      <c r="Q13" s="31" t="s">
        <v>33</v>
      </c>
      <c r="R13" s="31" t="s">
        <v>29</v>
      </c>
      <c r="S13" s="31" t="s">
        <v>31</v>
      </c>
      <c r="T13" s="29">
        <f t="shared" si="20"/>
        <v>3</v>
      </c>
      <c r="U13" s="30">
        <f t="shared" si="21"/>
        <v>1</v>
      </c>
      <c r="V13" s="32" t="s">
        <v>33</v>
      </c>
      <c r="W13" s="32" t="s">
        <v>29</v>
      </c>
      <c r="X13" s="32" t="s">
        <v>31</v>
      </c>
      <c r="Y13" s="5"/>
      <c r="Z13" s="5"/>
      <c r="AA13" s="5"/>
      <c r="AB13" s="5"/>
    </row>
    <row r="14">
      <c r="A14" s="21">
        <v>821.0</v>
      </c>
      <c r="B14" s="6" t="s">
        <v>25</v>
      </c>
      <c r="C14" s="21" t="s">
        <v>41</v>
      </c>
      <c r="D14" s="21" t="s">
        <v>42</v>
      </c>
      <c r="E14" s="16" t="s">
        <v>33</v>
      </c>
      <c r="F14" s="16" t="s">
        <v>28</v>
      </c>
      <c r="G14" s="16" t="s">
        <v>31</v>
      </c>
      <c r="H14" s="29">
        <f t="shared" si="17"/>
        <v>3</v>
      </c>
      <c r="I14" s="30">
        <f t="shared" si="18"/>
        <v>1</v>
      </c>
      <c r="J14" s="20">
        <f t="shared" si="11"/>
        <v>1</v>
      </c>
      <c r="K14" s="16" t="s">
        <v>33</v>
      </c>
      <c r="L14" s="16" t="s">
        <v>28</v>
      </c>
      <c r="M14" s="16" t="s">
        <v>31</v>
      </c>
      <c r="N14" s="18">
        <f t="shared" si="12"/>
        <v>3</v>
      </c>
      <c r="O14" s="30">
        <f t="shared" si="19"/>
        <v>1</v>
      </c>
      <c r="P14" s="20">
        <f t="shared" si="14"/>
        <v>1</v>
      </c>
      <c r="Q14" s="31" t="s">
        <v>33</v>
      </c>
      <c r="R14" s="31" t="s">
        <v>28</v>
      </c>
      <c r="S14" s="31" t="s">
        <v>31</v>
      </c>
      <c r="T14" s="29">
        <f t="shared" si="20"/>
        <v>3</v>
      </c>
      <c r="U14" s="30">
        <f t="shared" si="21"/>
        <v>1</v>
      </c>
      <c r="V14" s="32" t="s">
        <v>33</v>
      </c>
      <c r="W14" s="32" t="s">
        <v>28</v>
      </c>
      <c r="X14" s="32" t="s">
        <v>31</v>
      </c>
      <c r="Y14" s="5"/>
      <c r="Z14" s="5"/>
      <c r="AA14" s="5"/>
      <c r="AB14" s="5"/>
    </row>
    <row r="15">
      <c r="A15" s="21">
        <v>831.0</v>
      </c>
      <c r="B15" s="6" t="s">
        <v>25</v>
      </c>
      <c r="C15" s="21" t="s">
        <v>41</v>
      </c>
      <c r="D15" s="21" t="s">
        <v>43</v>
      </c>
      <c r="E15" s="22" t="s">
        <v>31</v>
      </c>
      <c r="F15" s="17" t="s">
        <v>30</v>
      </c>
      <c r="G15" s="17" t="s">
        <v>30</v>
      </c>
      <c r="H15" s="29">
        <f t="shared" si="17"/>
        <v>0</v>
      </c>
      <c r="I15" s="30">
        <f t="shared" si="18"/>
        <v>0</v>
      </c>
      <c r="J15" s="20">
        <f t="shared" si="11"/>
        <v>0</v>
      </c>
      <c r="K15" s="22" t="s">
        <v>31</v>
      </c>
      <c r="L15" s="22" t="s">
        <v>29</v>
      </c>
      <c r="M15" s="22" t="s">
        <v>29</v>
      </c>
      <c r="N15" s="18">
        <f t="shared" si="12"/>
        <v>0</v>
      </c>
      <c r="O15" s="30">
        <f t="shared" si="19"/>
        <v>0</v>
      </c>
      <c r="P15" s="20">
        <f t="shared" si="14"/>
        <v>0</v>
      </c>
      <c r="Q15" s="31" t="s">
        <v>28</v>
      </c>
      <c r="R15" s="31" t="s">
        <v>29</v>
      </c>
      <c r="S15" s="31" t="s">
        <v>29</v>
      </c>
      <c r="T15" s="29">
        <f t="shared" si="20"/>
        <v>1</v>
      </c>
      <c r="U15" s="30">
        <f t="shared" si="21"/>
        <v>0.3333333333</v>
      </c>
      <c r="V15" s="32" t="s">
        <v>28</v>
      </c>
      <c r="W15" s="32" t="s">
        <v>33</v>
      </c>
      <c r="X15" s="32" t="s">
        <v>31</v>
      </c>
      <c r="Y15" s="13">
        <v>46131.0</v>
      </c>
      <c r="Z15" s="5"/>
      <c r="AA15" s="5"/>
      <c r="AB15" s="5"/>
    </row>
    <row r="16">
      <c r="A16" s="21">
        <v>854.0</v>
      </c>
      <c r="B16" s="6" t="s">
        <v>25</v>
      </c>
      <c r="C16" s="21" t="s">
        <v>41</v>
      </c>
      <c r="D16" s="21" t="s">
        <v>44</v>
      </c>
      <c r="E16" s="16" t="s">
        <v>28</v>
      </c>
      <c r="F16" s="17" t="s">
        <v>30</v>
      </c>
      <c r="G16" s="17" t="s">
        <v>30</v>
      </c>
      <c r="H16" s="29">
        <f t="shared" si="17"/>
        <v>1</v>
      </c>
      <c r="I16" s="30">
        <f t="shared" si="18"/>
        <v>0.3333333333</v>
      </c>
      <c r="J16" s="20">
        <f t="shared" si="11"/>
        <v>1</v>
      </c>
      <c r="K16" s="16" t="s">
        <v>28</v>
      </c>
      <c r="L16" s="16" t="s">
        <v>29</v>
      </c>
      <c r="M16" s="16" t="s">
        <v>33</v>
      </c>
      <c r="N16" s="18">
        <f t="shared" si="12"/>
        <v>1</v>
      </c>
      <c r="O16" s="30">
        <f t="shared" si="19"/>
        <v>0.3333333333</v>
      </c>
      <c r="P16" s="20">
        <f t="shared" si="14"/>
        <v>0.3333333333</v>
      </c>
      <c r="Q16" s="31" t="s">
        <v>28</v>
      </c>
      <c r="R16" s="31" t="s">
        <v>28</v>
      </c>
      <c r="S16" s="31" t="s">
        <v>31</v>
      </c>
      <c r="T16" s="29">
        <f t="shared" si="20"/>
        <v>1</v>
      </c>
      <c r="U16" s="30">
        <f t="shared" si="21"/>
        <v>0.3333333333</v>
      </c>
      <c r="V16" s="32" t="s">
        <v>28</v>
      </c>
      <c r="W16" s="32" t="s">
        <v>31</v>
      </c>
      <c r="X16" s="32" t="s">
        <v>29</v>
      </c>
      <c r="Y16" s="24">
        <v>46131.0</v>
      </c>
      <c r="Z16" s="5"/>
      <c r="AA16" s="5"/>
      <c r="AB16" s="5"/>
    </row>
    <row r="17">
      <c r="A17" s="21">
        <v>861.0</v>
      </c>
      <c r="B17" s="6" t="s">
        <v>25</v>
      </c>
      <c r="C17" s="21" t="s">
        <v>41</v>
      </c>
      <c r="D17" s="21" t="s">
        <v>45</v>
      </c>
      <c r="E17" s="17" t="s">
        <v>30</v>
      </c>
      <c r="F17" s="17" t="s">
        <v>30</v>
      </c>
      <c r="G17" s="22" t="s">
        <v>28</v>
      </c>
      <c r="H17" s="29">
        <f t="shared" si="17"/>
        <v>1</v>
      </c>
      <c r="I17" s="30">
        <f t="shared" si="18"/>
        <v>0.3333333333</v>
      </c>
      <c r="J17" s="20">
        <f t="shared" si="11"/>
        <v>1</v>
      </c>
      <c r="K17" s="22" t="s">
        <v>29</v>
      </c>
      <c r="L17" s="22" t="s">
        <v>33</v>
      </c>
      <c r="M17" s="22" t="s">
        <v>28</v>
      </c>
      <c r="N17" s="18">
        <f t="shared" si="12"/>
        <v>3</v>
      </c>
      <c r="O17" s="30">
        <f t="shared" si="19"/>
        <v>1</v>
      </c>
      <c r="P17" s="20">
        <f t="shared" si="14"/>
        <v>1</v>
      </c>
      <c r="Q17" s="31" t="s">
        <v>29</v>
      </c>
      <c r="R17" s="31" t="s">
        <v>28</v>
      </c>
      <c r="S17" s="31" t="s">
        <v>28</v>
      </c>
      <c r="T17" s="29">
        <f t="shared" si="20"/>
        <v>2</v>
      </c>
      <c r="U17" s="30">
        <f t="shared" si="21"/>
        <v>0.6666666667</v>
      </c>
      <c r="V17" s="32" t="s">
        <v>29</v>
      </c>
      <c r="W17" s="32" t="s">
        <v>33</v>
      </c>
      <c r="X17" s="32" t="s">
        <v>28</v>
      </c>
      <c r="Y17" s="13">
        <v>46131.0</v>
      </c>
      <c r="Z17" s="5"/>
      <c r="AA17" s="5"/>
      <c r="AB17" s="5"/>
    </row>
    <row r="18">
      <c r="A18" s="21">
        <v>301.0</v>
      </c>
      <c r="B18" s="21" t="s">
        <v>46</v>
      </c>
      <c r="C18" s="21" t="s">
        <v>26</v>
      </c>
      <c r="D18" s="21" t="s">
        <v>27</v>
      </c>
      <c r="E18" s="17" t="s">
        <v>30</v>
      </c>
      <c r="F18" s="16" t="s">
        <v>31</v>
      </c>
      <c r="G18" s="17" t="s">
        <v>30</v>
      </c>
      <c r="H18" s="29">
        <f t="shared" si="17"/>
        <v>1</v>
      </c>
      <c r="I18" s="30">
        <f t="shared" si="18"/>
        <v>0.3333333333</v>
      </c>
      <c r="J18" s="20">
        <f t="shared" si="11"/>
        <v>1</v>
      </c>
      <c r="K18" s="17" t="s">
        <v>30</v>
      </c>
      <c r="L18" s="16" t="s">
        <v>31</v>
      </c>
      <c r="M18" s="16" t="s">
        <v>29</v>
      </c>
      <c r="N18" s="18">
        <f t="shared" si="12"/>
        <v>2</v>
      </c>
      <c r="O18" s="30">
        <f t="shared" si="19"/>
        <v>0.6666666667</v>
      </c>
      <c r="P18" s="20">
        <f t="shared" si="14"/>
        <v>1</v>
      </c>
      <c r="Q18" s="31" t="s">
        <v>31</v>
      </c>
      <c r="R18" s="31" t="s">
        <v>31</v>
      </c>
      <c r="S18" s="31" t="s">
        <v>29</v>
      </c>
      <c r="T18" s="29">
        <f t="shared" si="20"/>
        <v>2</v>
      </c>
      <c r="U18" s="30">
        <f t="shared" si="21"/>
        <v>0.6666666667</v>
      </c>
      <c r="V18" s="32" t="s">
        <v>28</v>
      </c>
      <c r="W18" s="32" t="s">
        <v>31</v>
      </c>
      <c r="X18" s="32" t="s">
        <v>29</v>
      </c>
      <c r="Y18" s="13"/>
      <c r="Z18" s="5"/>
      <c r="AA18" s="5"/>
      <c r="AB18" s="5"/>
    </row>
    <row r="19">
      <c r="A19" s="21">
        <v>302.0</v>
      </c>
      <c r="B19" s="21" t="s">
        <v>46</v>
      </c>
      <c r="C19" s="21" t="s">
        <v>26</v>
      </c>
      <c r="D19" s="21" t="s">
        <v>27</v>
      </c>
      <c r="E19" s="22" t="s">
        <v>28</v>
      </c>
      <c r="F19" s="22" t="s">
        <v>28</v>
      </c>
      <c r="G19" s="17" t="s">
        <v>30</v>
      </c>
      <c r="H19" s="29">
        <f t="shared" si="17"/>
        <v>2</v>
      </c>
      <c r="I19" s="30">
        <f t="shared" si="18"/>
        <v>0.6666666667</v>
      </c>
      <c r="J19" s="20">
        <f t="shared" si="11"/>
        <v>1</v>
      </c>
      <c r="K19" s="22" t="s">
        <v>28</v>
      </c>
      <c r="L19" s="22" t="s">
        <v>28</v>
      </c>
      <c r="M19" s="17" t="s">
        <v>30</v>
      </c>
      <c r="N19" s="18">
        <f t="shared" si="12"/>
        <v>2</v>
      </c>
      <c r="O19" s="30">
        <f t="shared" si="19"/>
        <v>0.6666666667</v>
      </c>
      <c r="P19" s="20">
        <f t="shared" si="14"/>
        <v>1</v>
      </c>
      <c r="Q19" s="31" t="s">
        <v>28</v>
      </c>
      <c r="R19" s="31" t="s">
        <v>28</v>
      </c>
      <c r="S19" s="31" t="s">
        <v>33</v>
      </c>
      <c r="T19" s="29">
        <f t="shared" si="20"/>
        <v>2</v>
      </c>
      <c r="U19" s="30">
        <f t="shared" si="21"/>
        <v>0.6666666667</v>
      </c>
      <c r="V19" s="32" t="s">
        <v>28</v>
      </c>
      <c r="W19" s="32" t="s">
        <v>28</v>
      </c>
      <c r="X19" s="32" t="s">
        <v>28</v>
      </c>
      <c r="Y19" s="13"/>
      <c r="Z19" s="5"/>
      <c r="AA19" s="5"/>
      <c r="AB19" s="5"/>
    </row>
    <row r="20">
      <c r="A20" s="21">
        <v>303.0</v>
      </c>
      <c r="B20" s="21" t="s">
        <v>46</v>
      </c>
      <c r="C20" s="21" t="s">
        <v>26</v>
      </c>
      <c r="D20" s="21" t="s">
        <v>27</v>
      </c>
      <c r="E20" s="17" t="s">
        <v>30</v>
      </c>
      <c r="F20" s="16" t="s">
        <v>29</v>
      </c>
      <c r="G20" s="16" t="s">
        <v>33</v>
      </c>
      <c r="H20" s="29">
        <f t="shared" si="17"/>
        <v>0</v>
      </c>
      <c r="I20" s="30">
        <f t="shared" si="18"/>
        <v>0</v>
      </c>
      <c r="J20" s="20">
        <f t="shared" si="11"/>
        <v>0</v>
      </c>
      <c r="K20" s="17" t="s">
        <v>30</v>
      </c>
      <c r="L20" s="16" t="s">
        <v>33</v>
      </c>
      <c r="M20" s="16" t="s">
        <v>33</v>
      </c>
      <c r="N20" s="18">
        <f t="shared" si="12"/>
        <v>1</v>
      </c>
      <c r="O20" s="30">
        <f t="shared" si="19"/>
        <v>0.3333333333</v>
      </c>
      <c r="P20" s="20">
        <f t="shared" si="14"/>
        <v>0.5</v>
      </c>
      <c r="Q20" s="31" t="s">
        <v>28</v>
      </c>
      <c r="R20" s="31" t="s">
        <v>31</v>
      </c>
      <c r="S20" s="31" t="s">
        <v>29</v>
      </c>
      <c r="T20" s="29">
        <f t="shared" si="20"/>
        <v>2</v>
      </c>
      <c r="U20" s="30">
        <f t="shared" si="21"/>
        <v>0.6666666667</v>
      </c>
      <c r="V20" s="32" t="s">
        <v>28</v>
      </c>
      <c r="W20" s="32" t="s">
        <v>33</v>
      </c>
      <c r="X20" s="32" t="s">
        <v>29</v>
      </c>
      <c r="Y20" s="13"/>
      <c r="Z20" s="5"/>
      <c r="AA20" s="5"/>
      <c r="AB20" s="5"/>
    </row>
    <row r="21">
      <c r="A21" s="21">
        <v>321.0</v>
      </c>
      <c r="B21" s="21" t="s">
        <v>46</v>
      </c>
      <c r="C21" s="21" t="s">
        <v>26</v>
      </c>
      <c r="D21" s="21" t="s">
        <v>32</v>
      </c>
      <c r="E21" s="17" t="s">
        <v>30</v>
      </c>
      <c r="F21" s="17" t="s">
        <v>30</v>
      </c>
      <c r="G21" s="17" t="s">
        <v>30</v>
      </c>
      <c r="H21" s="29">
        <f t="shared" si="17"/>
        <v>0</v>
      </c>
      <c r="I21" s="30">
        <f t="shared" si="18"/>
        <v>0</v>
      </c>
      <c r="J21" s="20" t="str">
        <f t="shared" si="11"/>
        <v>XXX</v>
      </c>
      <c r="K21" s="22" t="s">
        <v>31</v>
      </c>
      <c r="L21" s="22" t="s">
        <v>31</v>
      </c>
      <c r="M21" s="22" t="s">
        <v>33</v>
      </c>
      <c r="N21" s="18">
        <f t="shared" si="12"/>
        <v>2</v>
      </c>
      <c r="O21" s="30">
        <f t="shared" si="19"/>
        <v>0.6666666667</v>
      </c>
      <c r="P21" s="20">
        <f t="shared" si="14"/>
        <v>0.6666666667</v>
      </c>
      <c r="Q21" s="31" t="s">
        <v>31</v>
      </c>
      <c r="R21" s="31" t="s">
        <v>33</v>
      </c>
      <c r="S21" s="31" t="s">
        <v>33</v>
      </c>
      <c r="T21" s="29">
        <f t="shared" si="20"/>
        <v>2</v>
      </c>
      <c r="U21" s="30">
        <f t="shared" si="21"/>
        <v>0.6666666667</v>
      </c>
      <c r="V21" s="32" t="s">
        <v>31</v>
      </c>
      <c r="W21" s="32" t="s">
        <v>29</v>
      </c>
      <c r="X21" s="32" t="s">
        <v>33</v>
      </c>
      <c r="Y21" s="13"/>
      <c r="Z21" s="5"/>
      <c r="AA21" s="5"/>
      <c r="AB21" s="5"/>
    </row>
    <row r="22">
      <c r="A22" s="21">
        <v>322.0</v>
      </c>
      <c r="B22" s="21" t="s">
        <v>46</v>
      </c>
      <c r="C22" s="21" t="s">
        <v>26</v>
      </c>
      <c r="D22" s="21" t="s">
        <v>32</v>
      </c>
      <c r="E22" s="16" t="s">
        <v>28</v>
      </c>
      <c r="F22" s="17" t="s">
        <v>30</v>
      </c>
      <c r="G22" s="17" t="s">
        <v>30</v>
      </c>
      <c r="H22" s="29">
        <f t="shared" si="17"/>
        <v>1</v>
      </c>
      <c r="I22" s="30">
        <f t="shared" si="18"/>
        <v>0.3333333333</v>
      </c>
      <c r="J22" s="20">
        <f t="shared" si="11"/>
        <v>1</v>
      </c>
      <c r="K22" s="16" t="s">
        <v>28</v>
      </c>
      <c r="L22" s="16" t="s">
        <v>31</v>
      </c>
      <c r="M22" s="16" t="s">
        <v>29</v>
      </c>
      <c r="N22" s="18">
        <f t="shared" si="12"/>
        <v>3</v>
      </c>
      <c r="O22" s="30">
        <f t="shared" si="19"/>
        <v>1</v>
      </c>
      <c r="P22" s="20">
        <f t="shared" si="14"/>
        <v>1</v>
      </c>
      <c r="Q22" s="31" t="s">
        <v>28</v>
      </c>
      <c r="R22" s="31" t="s">
        <v>31</v>
      </c>
      <c r="S22" s="31" t="s">
        <v>29</v>
      </c>
      <c r="T22" s="29">
        <f t="shared" si="20"/>
        <v>3</v>
      </c>
      <c r="U22" s="30">
        <f t="shared" si="21"/>
        <v>1</v>
      </c>
      <c r="V22" s="32" t="s">
        <v>28</v>
      </c>
      <c r="W22" s="32" t="s">
        <v>31</v>
      </c>
      <c r="X22" s="32" t="s">
        <v>29</v>
      </c>
      <c r="Y22" s="13"/>
      <c r="Z22" s="5"/>
      <c r="AA22" s="5"/>
      <c r="AB22" s="5"/>
    </row>
    <row r="23">
      <c r="A23" s="21">
        <v>323.0</v>
      </c>
      <c r="B23" s="21" t="s">
        <v>46</v>
      </c>
      <c r="C23" s="21" t="s">
        <v>26</v>
      </c>
      <c r="D23" s="21" t="s">
        <v>32</v>
      </c>
      <c r="E23" s="17" t="s">
        <v>30</v>
      </c>
      <c r="F23" s="22" t="s">
        <v>31</v>
      </c>
      <c r="G23" s="17" t="s">
        <v>30</v>
      </c>
      <c r="H23" s="29">
        <f t="shared" si="17"/>
        <v>0</v>
      </c>
      <c r="I23" s="30">
        <f t="shared" si="18"/>
        <v>0</v>
      </c>
      <c r="J23" s="20">
        <f t="shared" si="11"/>
        <v>0</v>
      </c>
      <c r="K23" s="22" t="s">
        <v>31</v>
      </c>
      <c r="L23" s="22" t="s">
        <v>31</v>
      </c>
      <c r="M23" s="22" t="s">
        <v>28</v>
      </c>
      <c r="N23" s="18">
        <f t="shared" si="12"/>
        <v>2</v>
      </c>
      <c r="O23" s="30">
        <f t="shared" si="19"/>
        <v>0.6666666667</v>
      </c>
      <c r="P23" s="20">
        <f t="shared" si="14"/>
        <v>0.6666666667</v>
      </c>
      <c r="Q23" s="31" t="s">
        <v>31</v>
      </c>
      <c r="R23" s="31" t="s">
        <v>33</v>
      </c>
      <c r="S23" s="31" t="s">
        <v>28</v>
      </c>
      <c r="T23" s="29">
        <f t="shared" si="20"/>
        <v>3</v>
      </c>
      <c r="U23" s="30">
        <f t="shared" si="21"/>
        <v>1</v>
      </c>
      <c r="V23" s="32" t="s">
        <v>31</v>
      </c>
      <c r="W23" s="32" t="s">
        <v>33</v>
      </c>
      <c r="X23" s="32" t="s">
        <v>28</v>
      </c>
      <c r="Y23" s="13"/>
      <c r="Z23" s="5"/>
      <c r="AA23" s="5"/>
      <c r="AB23" s="5"/>
    </row>
    <row r="24">
      <c r="A24" s="21">
        <v>341.0</v>
      </c>
      <c r="B24" s="21" t="s">
        <v>46</v>
      </c>
      <c r="C24" s="21" t="s">
        <v>26</v>
      </c>
      <c r="D24" s="21" t="s">
        <v>34</v>
      </c>
      <c r="E24" s="16" t="s">
        <v>31</v>
      </c>
      <c r="F24" s="17" t="s">
        <v>30</v>
      </c>
      <c r="G24" s="17" t="s">
        <v>30</v>
      </c>
      <c r="H24" s="29">
        <f t="shared" si="17"/>
        <v>1</v>
      </c>
      <c r="I24" s="30">
        <f t="shared" si="18"/>
        <v>0.3333333333</v>
      </c>
      <c r="J24" s="20">
        <f t="shared" si="11"/>
        <v>1</v>
      </c>
      <c r="K24" s="16" t="s">
        <v>31</v>
      </c>
      <c r="L24" s="16" t="s">
        <v>28</v>
      </c>
      <c r="M24" s="16" t="s">
        <v>33</v>
      </c>
      <c r="N24" s="18">
        <f t="shared" si="12"/>
        <v>3</v>
      </c>
      <c r="O24" s="30">
        <f t="shared" si="19"/>
        <v>1</v>
      </c>
      <c r="P24" s="20">
        <f t="shared" si="14"/>
        <v>1</v>
      </c>
      <c r="Q24" s="31" t="s">
        <v>31</v>
      </c>
      <c r="R24" s="31" t="s">
        <v>28</v>
      </c>
      <c r="S24" s="31" t="s">
        <v>33</v>
      </c>
      <c r="T24" s="29">
        <f t="shared" si="20"/>
        <v>3</v>
      </c>
      <c r="U24" s="30">
        <f t="shared" si="21"/>
        <v>1</v>
      </c>
      <c r="V24" s="32" t="s">
        <v>31</v>
      </c>
      <c r="W24" s="32" t="s">
        <v>28</v>
      </c>
      <c r="X24" s="32" t="s">
        <v>33</v>
      </c>
      <c r="Y24" s="24">
        <v>46131.0</v>
      </c>
      <c r="Z24" s="5"/>
      <c r="AA24" s="5"/>
      <c r="AB24" s="5"/>
    </row>
    <row r="25" ht="15.75" customHeight="1">
      <c r="A25" s="21">
        <v>343.0</v>
      </c>
      <c r="B25" s="21" t="s">
        <v>46</v>
      </c>
      <c r="C25" s="21" t="s">
        <v>26</v>
      </c>
      <c r="D25" s="21" t="s">
        <v>34</v>
      </c>
      <c r="E25" s="17" t="s">
        <v>30</v>
      </c>
      <c r="F25" s="17" t="s">
        <v>30</v>
      </c>
      <c r="G25" s="17" t="s">
        <v>30</v>
      </c>
      <c r="H25" s="29">
        <f t="shared" si="17"/>
        <v>0</v>
      </c>
      <c r="I25" s="30">
        <f t="shared" si="18"/>
        <v>0</v>
      </c>
      <c r="J25" s="20" t="str">
        <f t="shared" si="11"/>
        <v>XXX</v>
      </c>
      <c r="K25" s="22" t="s">
        <v>33</v>
      </c>
      <c r="L25" s="22" t="s">
        <v>28</v>
      </c>
      <c r="M25" s="17" t="s">
        <v>30</v>
      </c>
      <c r="N25" s="18">
        <f t="shared" si="12"/>
        <v>2</v>
      </c>
      <c r="O25" s="30">
        <f t="shared" si="19"/>
        <v>0.6666666667</v>
      </c>
      <c r="P25" s="20">
        <f t="shared" si="14"/>
        <v>1</v>
      </c>
      <c r="Q25" s="31" t="s">
        <v>28</v>
      </c>
      <c r="R25" s="31" t="s">
        <v>28</v>
      </c>
      <c r="S25" s="31" t="s">
        <v>33</v>
      </c>
      <c r="T25" s="29">
        <f t="shared" si="20"/>
        <v>1</v>
      </c>
      <c r="U25" s="30">
        <f t="shared" si="21"/>
        <v>0.3333333333</v>
      </c>
      <c r="V25" s="32" t="s">
        <v>33</v>
      </c>
      <c r="W25" s="32" t="s">
        <v>28</v>
      </c>
      <c r="X25" s="32" t="s">
        <v>31</v>
      </c>
      <c r="Y25" s="13">
        <v>46131.0</v>
      </c>
      <c r="Z25" s="5"/>
      <c r="AA25" s="5"/>
      <c r="AB25" s="5"/>
    </row>
    <row r="26" ht="15.75" customHeight="1">
      <c r="A26" s="21">
        <v>344.0</v>
      </c>
      <c r="B26" s="21" t="s">
        <v>46</v>
      </c>
      <c r="C26" s="21" t="s">
        <v>26</v>
      </c>
      <c r="D26" s="21" t="s">
        <v>34</v>
      </c>
      <c r="E26" s="17" t="s">
        <v>30</v>
      </c>
      <c r="F26" s="16" t="s">
        <v>29</v>
      </c>
      <c r="G26" s="17" t="s">
        <v>30</v>
      </c>
      <c r="H26" s="29">
        <f t="shared" si="17"/>
        <v>1</v>
      </c>
      <c r="I26" s="30">
        <f t="shared" si="18"/>
        <v>0.3333333333</v>
      </c>
      <c r="J26" s="20">
        <f t="shared" si="11"/>
        <v>1</v>
      </c>
      <c r="K26" s="16" t="s">
        <v>28</v>
      </c>
      <c r="L26" s="16" t="s">
        <v>29</v>
      </c>
      <c r="M26" s="16" t="s">
        <v>28</v>
      </c>
      <c r="N26" s="18">
        <f t="shared" si="12"/>
        <v>2</v>
      </c>
      <c r="O26" s="30">
        <f t="shared" si="19"/>
        <v>0.6666666667</v>
      </c>
      <c r="P26" s="20">
        <f t="shared" si="14"/>
        <v>0.6666666667</v>
      </c>
      <c r="Q26" s="31" t="s">
        <v>28</v>
      </c>
      <c r="R26" s="31" t="s">
        <v>28</v>
      </c>
      <c r="S26" s="31" t="s">
        <v>33</v>
      </c>
      <c r="T26" s="29">
        <f t="shared" si="20"/>
        <v>2</v>
      </c>
      <c r="U26" s="30">
        <f t="shared" si="21"/>
        <v>0.6666666667</v>
      </c>
      <c r="V26" s="32" t="s">
        <v>28</v>
      </c>
      <c r="W26" s="32" t="s">
        <v>29</v>
      </c>
      <c r="X26" s="32" t="s">
        <v>33</v>
      </c>
      <c r="Y26" s="24">
        <v>46131.0</v>
      </c>
      <c r="Z26" s="5"/>
      <c r="AA26" s="5"/>
      <c r="AB26" s="5"/>
    </row>
    <row r="27" ht="15.75" customHeight="1">
      <c r="A27" s="21">
        <v>381.0</v>
      </c>
      <c r="B27" s="21" t="s">
        <v>46</v>
      </c>
      <c r="C27" s="21" t="s">
        <v>26</v>
      </c>
      <c r="D27" s="21" t="s">
        <v>35</v>
      </c>
      <c r="E27" s="17" t="s">
        <v>30</v>
      </c>
      <c r="F27" s="22" t="s">
        <v>33</v>
      </c>
      <c r="G27" s="22" t="s">
        <v>31</v>
      </c>
      <c r="H27" s="29">
        <f t="shared" si="17"/>
        <v>1</v>
      </c>
      <c r="I27" s="30">
        <f t="shared" si="18"/>
        <v>0.3333333333</v>
      </c>
      <c r="J27" s="20">
        <f t="shared" si="11"/>
        <v>0.5</v>
      </c>
      <c r="K27" s="22" t="s">
        <v>29</v>
      </c>
      <c r="L27" s="22" t="s">
        <v>33</v>
      </c>
      <c r="M27" s="22" t="s">
        <v>31</v>
      </c>
      <c r="N27" s="18">
        <f t="shared" si="12"/>
        <v>2</v>
      </c>
      <c r="O27" s="30">
        <f t="shared" si="19"/>
        <v>0.6666666667</v>
      </c>
      <c r="P27" s="20">
        <f t="shared" si="14"/>
        <v>0.6666666667</v>
      </c>
      <c r="Q27" s="31" t="s">
        <v>29</v>
      </c>
      <c r="R27" s="31" t="s">
        <v>33</v>
      </c>
      <c r="S27" s="31" t="s">
        <v>31</v>
      </c>
      <c r="T27" s="29">
        <f t="shared" si="20"/>
        <v>2</v>
      </c>
      <c r="U27" s="30">
        <f t="shared" si="21"/>
        <v>0.6666666667</v>
      </c>
      <c r="V27" s="32" t="s">
        <v>29</v>
      </c>
      <c r="W27" s="32" t="s">
        <v>33</v>
      </c>
      <c r="X27" s="32" t="s">
        <v>33</v>
      </c>
      <c r="Y27" s="13">
        <v>46131.0</v>
      </c>
      <c r="Z27" s="5"/>
      <c r="AA27" s="5"/>
      <c r="AB27" s="5"/>
    </row>
    <row r="28" ht="15.75" customHeight="1">
      <c r="A28" s="21">
        <v>382.0</v>
      </c>
      <c r="B28" s="21" t="s">
        <v>46</v>
      </c>
      <c r="C28" s="21" t="s">
        <v>26</v>
      </c>
      <c r="D28" s="21" t="s">
        <v>35</v>
      </c>
      <c r="E28" s="16" t="s">
        <v>29</v>
      </c>
      <c r="F28" s="17" t="s">
        <v>30</v>
      </c>
      <c r="G28" s="17" t="s">
        <v>30</v>
      </c>
      <c r="H28" s="29">
        <f t="shared" si="17"/>
        <v>1</v>
      </c>
      <c r="I28" s="30">
        <f t="shared" si="18"/>
        <v>0.3333333333</v>
      </c>
      <c r="J28" s="20">
        <f t="shared" si="11"/>
        <v>1</v>
      </c>
      <c r="K28" s="16" t="s">
        <v>29</v>
      </c>
      <c r="L28" s="16" t="s">
        <v>28</v>
      </c>
      <c r="M28" s="16" t="s">
        <v>28</v>
      </c>
      <c r="N28" s="18">
        <f t="shared" si="12"/>
        <v>1</v>
      </c>
      <c r="O28" s="30">
        <f t="shared" si="19"/>
        <v>0.3333333333</v>
      </c>
      <c r="P28" s="20">
        <f t="shared" si="14"/>
        <v>0.3333333333</v>
      </c>
      <c r="Q28" s="31" t="s">
        <v>31</v>
      </c>
      <c r="R28" s="31" t="s">
        <v>28</v>
      </c>
      <c r="S28" s="31" t="s">
        <v>28</v>
      </c>
      <c r="T28" s="29">
        <f t="shared" si="20"/>
        <v>0</v>
      </c>
      <c r="U28" s="30">
        <f t="shared" si="21"/>
        <v>0</v>
      </c>
      <c r="V28" s="32" t="s">
        <v>29</v>
      </c>
      <c r="W28" s="32" t="s">
        <v>29</v>
      </c>
      <c r="X28" s="32" t="s">
        <v>29</v>
      </c>
      <c r="Y28" s="24">
        <v>46131.0</v>
      </c>
      <c r="Z28" s="5"/>
      <c r="AA28" s="5"/>
      <c r="AB28" s="5"/>
    </row>
    <row r="29" ht="15.75" customHeight="1">
      <c r="A29" s="21">
        <v>383.0</v>
      </c>
      <c r="B29" s="21" t="s">
        <v>46</v>
      </c>
      <c r="C29" s="21" t="s">
        <v>26</v>
      </c>
      <c r="D29" s="21" t="s">
        <v>35</v>
      </c>
      <c r="E29" s="17" t="s">
        <v>30</v>
      </c>
      <c r="F29" s="22" t="s">
        <v>33</v>
      </c>
      <c r="G29" s="22" t="s">
        <v>33</v>
      </c>
      <c r="H29" s="29">
        <f t="shared" si="17"/>
        <v>2</v>
      </c>
      <c r="I29" s="30">
        <f t="shared" si="18"/>
        <v>0.6666666667</v>
      </c>
      <c r="J29" s="20">
        <f t="shared" si="11"/>
        <v>1</v>
      </c>
      <c r="K29" s="22" t="s">
        <v>29</v>
      </c>
      <c r="L29" s="22" t="s">
        <v>33</v>
      </c>
      <c r="M29" s="22" t="s">
        <v>33</v>
      </c>
      <c r="N29" s="18">
        <f t="shared" si="12"/>
        <v>2</v>
      </c>
      <c r="O29" s="30">
        <f t="shared" si="19"/>
        <v>0.6666666667</v>
      </c>
      <c r="P29" s="20">
        <f t="shared" si="14"/>
        <v>0.6666666667</v>
      </c>
      <c r="Q29" s="31" t="s">
        <v>33</v>
      </c>
      <c r="R29" s="31" t="s">
        <v>31</v>
      </c>
      <c r="S29" s="31" t="s">
        <v>33</v>
      </c>
      <c r="T29" s="29">
        <f t="shared" si="20"/>
        <v>2</v>
      </c>
      <c r="U29" s="30">
        <f t="shared" si="21"/>
        <v>0.6666666667</v>
      </c>
      <c r="V29" s="32" t="s">
        <v>33</v>
      </c>
      <c r="W29" s="32" t="s">
        <v>33</v>
      </c>
      <c r="X29" s="32" t="s">
        <v>33</v>
      </c>
      <c r="Y29" s="13">
        <v>46131.0</v>
      </c>
      <c r="Z29" s="5"/>
      <c r="AA29" s="5"/>
      <c r="AB29" s="5"/>
    </row>
    <row r="30" ht="15.75" customHeight="1">
      <c r="A30" s="21">
        <v>391.0</v>
      </c>
      <c r="B30" s="21" t="s">
        <v>46</v>
      </c>
      <c r="C30" s="21" t="s">
        <v>36</v>
      </c>
      <c r="D30" s="21" t="s">
        <v>37</v>
      </c>
      <c r="E30" s="16" t="s">
        <v>29</v>
      </c>
      <c r="F30" s="17" t="s">
        <v>30</v>
      </c>
      <c r="G30" s="17" t="s">
        <v>30</v>
      </c>
      <c r="H30" s="29">
        <f t="shared" si="17"/>
        <v>1</v>
      </c>
      <c r="I30" s="30">
        <f t="shared" si="18"/>
        <v>0.3333333333</v>
      </c>
      <c r="J30" s="20">
        <f t="shared" si="11"/>
        <v>1</v>
      </c>
      <c r="K30" s="16" t="s">
        <v>29</v>
      </c>
      <c r="L30" s="16" t="s">
        <v>28</v>
      </c>
      <c r="M30" s="16" t="s">
        <v>33</v>
      </c>
      <c r="N30" s="18">
        <f t="shared" si="12"/>
        <v>3</v>
      </c>
      <c r="O30" s="30">
        <f t="shared" si="19"/>
        <v>1</v>
      </c>
      <c r="P30" s="20">
        <f t="shared" si="14"/>
        <v>1</v>
      </c>
      <c r="Q30" s="31" t="s">
        <v>29</v>
      </c>
      <c r="R30" s="31" t="s">
        <v>28</v>
      </c>
      <c r="S30" s="31" t="s">
        <v>33</v>
      </c>
      <c r="T30" s="29">
        <f t="shared" si="20"/>
        <v>3</v>
      </c>
      <c r="U30" s="30">
        <f t="shared" si="21"/>
        <v>1</v>
      </c>
      <c r="V30" s="32" t="s">
        <v>29</v>
      </c>
      <c r="W30" s="32" t="s">
        <v>28</v>
      </c>
      <c r="X30" s="32" t="s">
        <v>33</v>
      </c>
      <c r="Y30" s="24">
        <v>46131.0</v>
      </c>
      <c r="Z30" s="5"/>
      <c r="AA30" s="5"/>
      <c r="AB30" s="5"/>
    </row>
    <row r="31" ht="15.75" customHeight="1">
      <c r="A31" s="21">
        <v>392.0</v>
      </c>
      <c r="B31" s="21" t="s">
        <v>46</v>
      </c>
      <c r="C31" s="21" t="s">
        <v>36</v>
      </c>
      <c r="D31" s="21" t="s">
        <v>37</v>
      </c>
      <c r="E31" s="17" t="s">
        <v>30</v>
      </c>
      <c r="F31" s="17" t="s">
        <v>30</v>
      </c>
      <c r="G31" s="17" t="s">
        <v>30</v>
      </c>
      <c r="H31" s="29">
        <f t="shared" si="17"/>
        <v>0</v>
      </c>
      <c r="I31" s="30">
        <f t="shared" si="18"/>
        <v>0</v>
      </c>
      <c r="J31" s="20" t="str">
        <f t="shared" si="11"/>
        <v>XXX</v>
      </c>
      <c r="K31" s="22" t="s">
        <v>29</v>
      </c>
      <c r="L31" s="22" t="s">
        <v>29</v>
      </c>
      <c r="M31" s="22" t="s">
        <v>29</v>
      </c>
      <c r="N31" s="18">
        <f t="shared" si="12"/>
        <v>2</v>
      </c>
      <c r="O31" s="30">
        <f t="shared" si="19"/>
        <v>0.6666666667</v>
      </c>
      <c r="P31" s="20">
        <f t="shared" si="14"/>
        <v>0.6666666667</v>
      </c>
      <c r="Q31" s="31" t="s">
        <v>29</v>
      </c>
      <c r="R31" s="31" t="s">
        <v>28</v>
      </c>
      <c r="S31" s="31" t="s">
        <v>29</v>
      </c>
      <c r="T31" s="29">
        <f t="shared" si="20"/>
        <v>1</v>
      </c>
      <c r="U31" s="30">
        <f t="shared" si="21"/>
        <v>0.3333333333</v>
      </c>
      <c r="V31" s="32" t="s">
        <v>31</v>
      </c>
      <c r="W31" s="32" t="s">
        <v>29</v>
      </c>
      <c r="X31" s="32" t="s">
        <v>29</v>
      </c>
      <c r="Y31" s="13">
        <v>46131.0</v>
      </c>
      <c r="Z31" s="5"/>
      <c r="AA31" s="5"/>
      <c r="AB31" s="5"/>
    </row>
    <row r="32" ht="15.75" customHeight="1">
      <c r="A32" s="33">
        <v>393.0</v>
      </c>
      <c r="B32" s="21" t="s">
        <v>46</v>
      </c>
      <c r="C32" s="21" t="s">
        <v>36</v>
      </c>
      <c r="D32" s="21" t="s">
        <v>37</v>
      </c>
      <c r="E32" s="17" t="s">
        <v>30</v>
      </c>
      <c r="F32" s="17" t="s">
        <v>30</v>
      </c>
      <c r="G32" s="17" t="s">
        <v>30</v>
      </c>
      <c r="H32" s="29">
        <f t="shared" si="17"/>
        <v>0</v>
      </c>
      <c r="I32" s="30">
        <f t="shared" si="18"/>
        <v>0</v>
      </c>
      <c r="J32" s="20" t="str">
        <f t="shared" si="11"/>
        <v>XXX</v>
      </c>
      <c r="K32" s="16" t="s">
        <v>28</v>
      </c>
      <c r="L32" s="16" t="s">
        <v>29</v>
      </c>
      <c r="M32" s="16" t="s">
        <v>31</v>
      </c>
      <c r="N32" s="18">
        <f t="shared" si="12"/>
        <v>1</v>
      </c>
      <c r="O32" s="30">
        <f t="shared" si="19"/>
        <v>0.3333333333</v>
      </c>
      <c r="P32" s="20">
        <f t="shared" si="14"/>
        <v>0.3333333333</v>
      </c>
      <c r="Q32" s="31" t="s">
        <v>33</v>
      </c>
      <c r="R32" s="31" t="s">
        <v>28</v>
      </c>
      <c r="S32" s="31" t="s">
        <v>33</v>
      </c>
      <c r="T32" s="29">
        <f t="shared" si="20"/>
        <v>2</v>
      </c>
      <c r="U32" s="30">
        <f t="shared" si="21"/>
        <v>0.6666666667</v>
      </c>
      <c r="V32" s="32" t="s">
        <v>33</v>
      </c>
      <c r="W32" s="32" t="s">
        <v>28</v>
      </c>
      <c r="X32" s="32" t="s">
        <v>31</v>
      </c>
      <c r="Y32" s="24">
        <v>46131.0</v>
      </c>
      <c r="Z32" s="5"/>
      <c r="AA32" s="5"/>
      <c r="AB32" s="5"/>
    </row>
    <row r="33" ht="15.75" customHeight="1">
      <c r="A33" s="21">
        <v>402.0</v>
      </c>
      <c r="B33" s="21" t="s">
        <v>46</v>
      </c>
      <c r="C33" s="21" t="s">
        <v>36</v>
      </c>
      <c r="D33" s="21" t="s">
        <v>38</v>
      </c>
      <c r="E33" s="17" t="s">
        <v>30</v>
      </c>
      <c r="F33" s="22" t="s">
        <v>29</v>
      </c>
      <c r="G33" s="17" t="s">
        <v>30</v>
      </c>
      <c r="H33" s="29">
        <f t="shared" si="17"/>
        <v>1</v>
      </c>
      <c r="I33" s="30">
        <f t="shared" si="18"/>
        <v>0.3333333333</v>
      </c>
      <c r="J33" s="20">
        <f t="shared" si="11"/>
        <v>1</v>
      </c>
      <c r="K33" s="22" t="s">
        <v>29</v>
      </c>
      <c r="L33" s="22" t="s">
        <v>29</v>
      </c>
      <c r="M33" s="22" t="s">
        <v>29</v>
      </c>
      <c r="N33" s="18">
        <f t="shared" si="12"/>
        <v>1</v>
      </c>
      <c r="O33" s="30">
        <f t="shared" si="19"/>
        <v>0.3333333333</v>
      </c>
      <c r="P33" s="20">
        <f t="shared" si="14"/>
        <v>0.3333333333</v>
      </c>
      <c r="Q33" s="31" t="s">
        <v>33</v>
      </c>
      <c r="R33" s="31" t="s">
        <v>28</v>
      </c>
      <c r="S33" s="31" t="s">
        <v>33</v>
      </c>
      <c r="T33" s="29">
        <f t="shared" si="20"/>
        <v>1</v>
      </c>
      <c r="U33" s="30">
        <f t="shared" si="21"/>
        <v>0.3333333333</v>
      </c>
      <c r="V33" s="32" t="s">
        <v>31</v>
      </c>
      <c r="W33" s="32" t="s">
        <v>29</v>
      </c>
      <c r="X33" s="32" t="s">
        <v>33</v>
      </c>
      <c r="Y33" s="13">
        <v>46131.0</v>
      </c>
      <c r="Z33" s="5"/>
      <c r="AA33" s="5"/>
      <c r="AB33" s="5"/>
    </row>
    <row r="34" ht="15.75" customHeight="1">
      <c r="A34" s="21">
        <v>403.0</v>
      </c>
      <c r="B34" s="21" t="s">
        <v>46</v>
      </c>
      <c r="C34" s="21" t="s">
        <v>36</v>
      </c>
      <c r="D34" s="21" t="s">
        <v>38</v>
      </c>
      <c r="E34" s="16" t="s">
        <v>28</v>
      </c>
      <c r="F34" s="16" t="s">
        <v>29</v>
      </c>
      <c r="G34" s="17" t="s">
        <v>30</v>
      </c>
      <c r="H34" s="29">
        <f t="shared" si="17"/>
        <v>2</v>
      </c>
      <c r="I34" s="30">
        <f t="shared" si="18"/>
        <v>0.6666666667</v>
      </c>
      <c r="J34" s="20">
        <f t="shared" si="11"/>
        <v>1</v>
      </c>
      <c r="K34" s="16" t="s">
        <v>28</v>
      </c>
      <c r="L34" s="16" t="s">
        <v>29</v>
      </c>
      <c r="M34" s="16" t="s">
        <v>29</v>
      </c>
      <c r="N34" s="18">
        <f t="shared" si="12"/>
        <v>2</v>
      </c>
      <c r="O34" s="30">
        <f t="shared" si="19"/>
        <v>0.6666666667</v>
      </c>
      <c r="P34" s="20">
        <f t="shared" si="14"/>
        <v>0.6666666667</v>
      </c>
      <c r="Q34" s="31" t="s">
        <v>28</v>
      </c>
      <c r="R34" s="31" t="s">
        <v>29</v>
      </c>
      <c r="S34" s="31" t="s">
        <v>33</v>
      </c>
      <c r="T34" s="29">
        <f t="shared" si="20"/>
        <v>3</v>
      </c>
      <c r="U34" s="30">
        <f t="shared" si="21"/>
        <v>1</v>
      </c>
      <c r="V34" s="32" t="s">
        <v>28</v>
      </c>
      <c r="W34" s="32" t="s">
        <v>29</v>
      </c>
      <c r="X34" s="32" t="s">
        <v>33</v>
      </c>
      <c r="Y34" s="24">
        <v>46131.0</v>
      </c>
      <c r="Z34" s="5"/>
      <c r="AA34" s="5"/>
      <c r="AB34" s="5"/>
    </row>
    <row r="35" ht="15.75" customHeight="1">
      <c r="A35" s="21">
        <v>404.0</v>
      </c>
      <c r="B35" s="21" t="s">
        <v>46</v>
      </c>
      <c r="C35" s="21" t="s">
        <v>36</v>
      </c>
      <c r="D35" s="21" t="s">
        <v>38</v>
      </c>
      <c r="E35" s="22" t="s">
        <v>29</v>
      </c>
      <c r="F35" s="17" t="s">
        <v>30</v>
      </c>
      <c r="G35" s="17" t="s">
        <v>30</v>
      </c>
      <c r="H35" s="29">
        <f t="shared" si="17"/>
        <v>0</v>
      </c>
      <c r="I35" s="30">
        <f t="shared" si="18"/>
        <v>0</v>
      </c>
      <c r="J35" s="20">
        <f t="shared" si="11"/>
        <v>0</v>
      </c>
      <c r="K35" s="22" t="s">
        <v>31</v>
      </c>
      <c r="L35" s="22" t="s">
        <v>33</v>
      </c>
      <c r="M35" s="22" t="s">
        <v>29</v>
      </c>
      <c r="N35" s="18">
        <f t="shared" si="12"/>
        <v>2</v>
      </c>
      <c r="O35" s="30">
        <f t="shared" si="19"/>
        <v>0.6666666667</v>
      </c>
      <c r="P35" s="20">
        <f t="shared" si="14"/>
        <v>0.6666666667</v>
      </c>
      <c r="Q35" s="31" t="s">
        <v>31</v>
      </c>
      <c r="R35" s="31" t="s">
        <v>33</v>
      </c>
      <c r="S35" s="31" t="s">
        <v>31</v>
      </c>
      <c r="T35" s="29">
        <f t="shared" si="20"/>
        <v>3</v>
      </c>
      <c r="U35" s="30">
        <f t="shared" si="21"/>
        <v>1</v>
      </c>
      <c r="V35" s="32" t="s">
        <v>31</v>
      </c>
      <c r="W35" s="32" t="s">
        <v>33</v>
      </c>
      <c r="X35" s="32" t="s">
        <v>31</v>
      </c>
      <c r="Y35" s="13">
        <v>46131.0</v>
      </c>
      <c r="Z35" s="5"/>
      <c r="AA35" s="5"/>
      <c r="AB35" s="5"/>
    </row>
    <row r="36" ht="15.75" customHeight="1">
      <c r="A36" s="21">
        <v>411.0</v>
      </c>
      <c r="B36" s="21" t="s">
        <v>46</v>
      </c>
      <c r="C36" s="21" t="s">
        <v>36</v>
      </c>
      <c r="D36" s="21" t="s">
        <v>47</v>
      </c>
      <c r="E36" s="16" t="s">
        <v>29</v>
      </c>
      <c r="F36" s="17" t="s">
        <v>30</v>
      </c>
      <c r="G36" s="16" t="s">
        <v>31</v>
      </c>
      <c r="H36" s="29">
        <f t="shared" si="17"/>
        <v>2</v>
      </c>
      <c r="I36" s="30">
        <f t="shared" si="18"/>
        <v>0.6666666667</v>
      </c>
      <c r="J36" s="20">
        <f t="shared" si="11"/>
        <v>1</v>
      </c>
      <c r="K36" s="16" t="s">
        <v>29</v>
      </c>
      <c r="L36" s="16" t="s">
        <v>28</v>
      </c>
      <c r="M36" s="16" t="s">
        <v>31</v>
      </c>
      <c r="N36" s="18">
        <f t="shared" si="12"/>
        <v>3</v>
      </c>
      <c r="O36" s="30">
        <f t="shared" si="19"/>
        <v>1</v>
      </c>
      <c r="P36" s="20">
        <f t="shared" si="14"/>
        <v>1</v>
      </c>
      <c r="Q36" s="31" t="s">
        <v>29</v>
      </c>
      <c r="R36" s="31" t="s">
        <v>28</v>
      </c>
      <c r="S36" s="31" t="s">
        <v>28</v>
      </c>
      <c r="T36" s="29">
        <f t="shared" si="20"/>
        <v>2</v>
      </c>
      <c r="U36" s="30">
        <f t="shared" si="21"/>
        <v>0.6666666667</v>
      </c>
      <c r="V36" s="32" t="s">
        <v>29</v>
      </c>
      <c r="W36" s="32" t="s">
        <v>28</v>
      </c>
      <c r="X36" s="32" t="s">
        <v>31</v>
      </c>
      <c r="Y36" s="24">
        <v>46131.0</v>
      </c>
      <c r="Z36" s="5"/>
      <c r="AA36" s="5"/>
      <c r="AB36" s="5"/>
    </row>
    <row r="37" ht="15.75" customHeight="1">
      <c r="A37" s="21">
        <v>412.0</v>
      </c>
      <c r="B37" s="21" t="s">
        <v>46</v>
      </c>
      <c r="C37" s="21" t="s">
        <v>36</v>
      </c>
      <c r="D37" s="21" t="s">
        <v>47</v>
      </c>
      <c r="E37" s="22" t="s">
        <v>31</v>
      </c>
      <c r="F37" s="22" t="s">
        <v>33</v>
      </c>
      <c r="G37" s="22" t="s">
        <v>28</v>
      </c>
      <c r="H37" s="29">
        <f t="shared" si="17"/>
        <v>3</v>
      </c>
      <c r="I37" s="30">
        <f t="shared" si="18"/>
        <v>1</v>
      </c>
      <c r="J37" s="20">
        <f t="shared" si="11"/>
        <v>1</v>
      </c>
      <c r="K37" s="22" t="s">
        <v>31</v>
      </c>
      <c r="L37" s="22" t="s">
        <v>33</v>
      </c>
      <c r="M37" s="22" t="s">
        <v>28</v>
      </c>
      <c r="N37" s="18">
        <f t="shared" si="12"/>
        <v>3</v>
      </c>
      <c r="O37" s="30">
        <f t="shared" si="19"/>
        <v>1</v>
      </c>
      <c r="P37" s="20">
        <f t="shared" si="14"/>
        <v>1</v>
      </c>
      <c r="Q37" s="31" t="s">
        <v>31</v>
      </c>
      <c r="R37" s="31" t="s">
        <v>33</v>
      </c>
      <c r="S37" s="31" t="s">
        <v>28</v>
      </c>
      <c r="T37" s="29">
        <f t="shared" si="20"/>
        <v>3</v>
      </c>
      <c r="U37" s="30">
        <f t="shared" si="21"/>
        <v>1</v>
      </c>
      <c r="V37" s="32" t="s">
        <v>31</v>
      </c>
      <c r="W37" s="32" t="s">
        <v>33</v>
      </c>
      <c r="X37" s="32" t="s">
        <v>28</v>
      </c>
      <c r="Y37" s="13">
        <v>46131.0</v>
      </c>
      <c r="Z37" s="5"/>
      <c r="AA37" s="5"/>
      <c r="AB37" s="5"/>
    </row>
    <row r="38" ht="15.75" customHeight="1">
      <c r="A38" s="21">
        <v>413.0</v>
      </c>
      <c r="B38" s="21" t="s">
        <v>46</v>
      </c>
      <c r="C38" s="21" t="s">
        <v>36</v>
      </c>
      <c r="D38" s="21" t="s">
        <v>47</v>
      </c>
      <c r="E38" s="17" t="s">
        <v>30</v>
      </c>
      <c r="F38" s="16" t="s">
        <v>29</v>
      </c>
      <c r="G38" s="17" t="s">
        <v>30</v>
      </c>
      <c r="H38" s="29">
        <f t="shared" si="17"/>
        <v>1</v>
      </c>
      <c r="I38" s="30">
        <f t="shared" si="18"/>
        <v>0.3333333333</v>
      </c>
      <c r="J38" s="20">
        <f t="shared" si="11"/>
        <v>1</v>
      </c>
      <c r="K38" s="16" t="s">
        <v>29</v>
      </c>
      <c r="L38" s="16" t="s">
        <v>29</v>
      </c>
      <c r="M38" s="16" t="s">
        <v>31</v>
      </c>
      <c r="N38" s="18">
        <f t="shared" si="12"/>
        <v>2</v>
      </c>
      <c r="O38" s="30">
        <f t="shared" si="19"/>
        <v>0.6666666667</v>
      </c>
      <c r="P38" s="20">
        <f t="shared" si="14"/>
        <v>0.6666666667</v>
      </c>
      <c r="Q38" s="31" t="s">
        <v>29</v>
      </c>
      <c r="R38" s="31" t="s">
        <v>29</v>
      </c>
      <c r="S38" s="31" t="s">
        <v>28</v>
      </c>
      <c r="T38" s="29">
        <f t="shared" si="20"/>
        <v>2</v>
      </c>
      <c r="U38" s="30">
        <f t="shared" si="21"/>
        <v>0.6666666667</v>
      </c>
      <c r="V38" s="32" t="s">
        <v>29</v>
      </c>
      <c r="W38" s="32" t="s">
        <v>29</v>
      </c>
      <c r="X38" s="32" t="s">
        <v>29</v>
      </c>
      <c r="Y38" s="24">
        <v>46131.0</v>
      </c>
      <c r="Z38" s="5"/>
      <c r="AA38" s="5"/>
      <c r="AB38" s="5"/>
    </row>
    <row r="39" ht="15.75" customHeight="1">
      <c r="A39" s="21">
        <v>421.0</v>
      </c>
      <c r="B39" s="21" t="s">
        <v>46</v>
      </c>
      <c r="C39" s="21" t="s">
        <v>36</v>
      </c>
      <c r="D39" s="21" t="s">
        <v>48</v>
      </c>
      <c r="E39" s="17" t="s">
        <v>30</v>
      </c>
      <c r="F39" s="22" t="s">
        <v>29</v>
      </c>
      <c r="G39" s="17" t="s">
        <v>30</v>
      </c>
      <c r="H39" s="29">
        <f t="shared" si="17"/>
        <v>1</v>
      </c>
      <c r="I39" s="30">
        <f t="shared" si="18"/>
        <v>0.3333333333</v>
      </c>
      <c r="J39" s="20">
        <f t="shared" si="11"/>
        <v>1</v>
      </c>
      <c r="K39" s="22" t="s">
        <v>29</v>
      </c>
      <c r="L39" s="22" t="s">
        <v>29</v>
      </c>
      <c r="M39" s="22" t="s">
        <v>29</v>
      </c>
      <c r="N39" s="18">
        <f t="shared" si="12"/>
        <v>1</v>
      </c>
      <c r="O39" s="30">
        <f t="shared" si="19"/>
        <v>0.3333333333</v>
      </c>
      <c r="P39" s="20">
        <f t="shared" si="14"/>
        <v>0.3333333333</v>
      </c>
      <c r="Q39" s="31" t="s">
        <v>31</v>
      </c>
      <c r="R39" s="31" t="s">
        <v>29</v>
      </c>
      <c r="S39" s="31" t="s">
        <v>28</v>
      </c>
      <c r="T39" s="29">
        <f t="shared" si="20"/>
        <v>2</v>
      </c>
      <c r="U39" s="30">
        <f t="shared" si="21"/>
        <v>0.6666666667</v>
      </c>
      <c r="V39" s="32" t="s">
        <v>31</v>
      </c>
      <c r="W39" s="32" t="s">
        <v>29</v>
      </c>
      <c r="X39" s="32" t="s">
        <v>31</v>
      </c>
      <c r="Y39" s="13">
        <v>46131.0</v>
      </c>
      <c r="Z39" s="5"/>
      <c r="AA39" s="5"/>
      <c r="AB39" s="5"/>
    </row>
    <row r="40" ht="15.75" customHeight="1">
      <c r="A40" s="21">
        <v>422.0</v>
      </c>
      <c r="B40" s="21" t="s">
        <v>46</v>
      </c>
      <c r="C40" s="21" t="s">
        <v>36</v>
      </c>
      <c r="D40" s="21" t="s">
        <v>48</v>
      </c>
      <c r="E40" s="17" t="s">
        <v>30</v>
      </c>
      <c r="F40" s="16" t="s">
        <v>28</v>
      </c>
      <c r="G40" s="17" t="s">
        <v>30</v>
      </c>
      <c r="H40" s="29">
        <f t="shared" si="17"/>
        <v>1</v>
      </c>
      <c r="I40" s="30">
        <f t="shared" si="18"/>
        <v>0.3333333333</v>
      </c>
      <c r="J40" s="20">
        <f t="shared" si="11"/>
        <v>1</v>
      </c>
      <c r="K40" s="16" t="s">
        <v>28</v>
      </c>
      <c r="L40" s="16" t="s">
        <v>28</v>
      </c>
      <c r="M40" s="16" t="s">
        <v>29</v>
      </c>
      <c r="N40" s="18">
        <f t="shared" si="12"/>
        <v>2</v>
      </c>
      <c r="O40" s="30">
        <f t="shared" si="19"/>
        <v>0.6666666667</v>
      </c>
      <c r="P40" s="20">
        <f t="shared" si="14"/>
        <v>0.6666666667</v>
      </c>
      <c r="Q40" s="31" t="s">
        <v>28</v>
      </c>
      <c r="R40" s="31" t="s">
        <v>28</v>
      </c>
      <c r="S40" s="31" t="s">
        <v>28</v>
      </c>
      <c r="T40" s="29">
        <f t="shared" si="20"/>
        <v>2</v>
      </c>
      <c r="U40" s="30">
        <f t="shared" si="21"/>
        <v>0.6666666667</v>
      </c>
      <c r="V40" s="32" t="s">
        <v>28</v>
      </c>
      <c r="W40" s="32" t="s">
        <v>28</v>
      </c>
      <c r="X40" s="32" t="s">
        <v>31</v>
      </c>
      <c r="Y40" s="24">
        <v>46131.0</v>
      </c>
      <c r="Z40" s="5"/>
      <c r="AA40" s="5"/>
      <c r="AB40" s="5"/>
    </row>
    <row r="41" ht="15.75" customHeight="1">
      <c r="A41" s="21">
        <v>423.0</v>
      </c>
      <c r="B41" s="21" t="s">
        <v>46</v>
      </c>
      <c r="C41" s="21" t="s">
        <v>36</v>
      </c>
      <c r="D41" s="21" t="s">
        <v>48</v>
      </c>
      <c r="E41" s="22" t="s">
        <v>28</v>
      </c>
      <c r="F41" s="22" t="s">
        <v>28</v>
      </c>
      <c r="G41" s="17" t="s">
        <v>30</v>
      </c>
      <c r="H41" s="29">
        <f t="shared" si="17"/>
        <v>2</v>
      </c>
      <c r="I41" s="30">
        <f t="shared" si="18"/>
        <v>0.6666666667</v>
      </c>
      <c r="J41" s="20">
        <f t="shared" si="11"/>
        <v>1</v>
      </c>
      <c r="K41" s="22" t="s">
        <v>28</v>
      </c>
      <c r="L41" s="22" t="s">
        <v>28</v>
      </c>
      <c r="M41" s="22" t="s">
        <v>29</v>
      </c>
      <c r="N41" s="18">
        <f t="shared" si="12"/>
        <v>3</v>
      </c>
      <c r="O41" s="30">
        <f t="shared" si="19"/>
        <v>1</v>
      </c>
      <c r="P41" s="20">
        <f t="shared" si="14"/>
        <v>1</v>
      </c>
      <c r="Q41" s="31" t="s">
        <v>28</v>
      </c>
      <c r="R41" s="31" t="s">
        <v>28</v>
      </c>
      <c r="S41" s="31" t="s">
        <v>29</v>
      </c>
      <c r="T41" s="29">
        <f t="shared" si="20"/>
        <v>3</v>
      </c>
      <c r="U41" s="30">
        <f t="shared" si="21"/>
        <v>1</v>
      </c>
      <c r="V41" s="32" t="s">
        <v>28</v>
      </c>
      <c r="W41" s="32" t="s">
        <v>28</v>
      </c>
      <c r="X41" s="32" t="s">
        <v>29</v>
      </c>
      <c r="Y41" s="13">
        <v>46131.0</v>
      </c>
      <c r="Z41" s="5"/>
      <c r="AA41" s="5"/>
      <c r="AB41" s="5"/>
    </row>
    <row r="42" ht="15.75" customHeight="1">
      <c r="A42" s="21">
        <v>521.0</v>
      </c>
      <c r="B42" s="21" t="s">
        <v>46</v>
      </c>
      <c r="C42" s="21" t="s">
        <v>41</v>
      </c>
      <c r="D42" s="21" t="s">
        <v>42</v>
      </c>
      <c r="E42" s="16" t="s">
        <v>33</v>
      </c>
      <c r="F42" s="17" t="s">
        <v>30</v>
      </c>
      <c r="G42" s="16" t="s">
        <v>31</v>
      </c>
      <c r="H42" s="29">
        <f t="shared" si="17"/>
        <v>2</v>
      </c>
      <c r="I42" s="30">
        <f t="shared" si="18"/>
        <v>0.6666666667</v>
      </c>
      <c r="J42" s="20">
        <f t="shared" si="11"/>
        <v>1</v>
      </c>
      <c r="K42" s="16" t="s">
        <v>33</v>
      </c>
      <c r="L42" s="16" t="s">
        <v>29</v>
      </c>
      <c r="M42" s="16" t="s">
        <v>31</v>
      </c>
      <c r="N42" s="18">
        <f t="shared" si="12"/>
        <v>2</v>
      </c>
      <c r="O42" s="30">
        <f t="shared" si="19"/>
        <v>0.6666666667</v>
      </c>
      <c r="P42" s="20">
        <f t="shared" si="14"/>
        <v>0.6666666667</v>
      </c>
      <c r="Q42" s="31" t="s">
        <v>33</v>
      </c>
      <c r="R42" s="31" t="s">
        <v>28</v>
      </c>
      <c r="S42" s="31" t="s">
        <v>33</v>
      </c>
      <c r="T42" s="29">
        <f t="shared" si="20"/>
        <v>2</v>
      </c>
      <c r="U42" s="30">
        <f t="shared" si="21"/>
        <v>0.6666666667</v>
      </c>
      <c r="V42" s="32" t="s">
        <v>33</v>
      </c>
      <c r="W42" s="32" t="s">
        <v>28</v>
      </c>
      <c r="X42" s="32" t="s">
        <v>31</v>
      </c>
      <c r="Y42" s="24">
        <v>46131.0</v>
      </c>
      <c r="Z42" s="5"/>
      <c r="AA42" s="5"/>
      <c r="AB42" s="5"/>
    </row>
    <row r="43" ht="15.75" customHeight="1">
      <c r="A43" s="21">
        <v>522.0</v>
      </c>
      <c r="B43" s="21" t="s">
        <v>46</v>
      </c>
      <c r="C43" s="21" t="s">
        <v>41</v>
      </c>
      <c r="D43" s="21" t="s">
        <v>42</v>
      </c>
      <c r="E43" s="17" t="s">
        <v>30</v>
      </c>
      <c r="F43" s="17" t="s">
        <v>30</v>
      </c>
      <c r="G43" s="17" t="s">
        <v>30</v>
      </c>
      <c r="H43" s="29">
        <f t="shared" si="17"/>
        <v>0</v>
      </c>
      <c r="I43" s="30">
        <f t="shared" si="18"/>
        <v>0</v>
      </c>
      <c r="J43" s="20" t="str">
        <f t="shared" si="11"/>
        <v>XXX</v>
      </c>
      <c r="K43" s="22" t="s">
        <v>28</v>
      </c>
      <c r="L43" s="17" t="s">
        <v>30</v>
      </c>
      <c r="M43" s="22" t="s">
        <v>29</v>
      </c>
      <c r="N43" s="18">
        <f t="shared" si="12"/>
        <v>0</v>
      </c>
      <c r="O43" s="30">
        <f t="shared" si="19"/>
        <v>0</v>
      </c>
      <c r="P43" s="20">
        <f t="shared" si="14"/>
        <v>0</v>
      </c>
      <c r="Q43" s="31" t="s">
        <v>31</v>
      </c>
      <c r="R43" s="31" t="s">
        <v>33</v>
      </c>
      <c r="S43" s="31" t="s">
        <v>33</v>
      </c>
      <c r="T43" s="29">
        <f t="shared" si="20"/>
        <v>2</v>
      </c>
      <c r="U43" s="30">
        <f t="shared" si="21"/>
        <v>0.6666666667</v>
      </c>
      <c r="V43" s="32" t="s">
        <v>31</v>
      </c>
      <c r="W43" s="32" t="s">
        <v>29</v>
      </c>
      <c r="X43" s="32" t="s">
        <v>33</v>
      </c>
      <c r="Y43" s="13">
        <v>46131.0</v>
      </c>
      <c r="Z43" s="5"/>
      <c r="AA43" s="5"/>
      <c r="AB43" s="5"/>
    </row>
    <row r="44" ht="15.75" customHeight="1">
      <c r="A44" s="21">
        <v>523.0</v>
      </c>
      <c r="B44" s="21" t="s">
        <v>46</v>
      </c>
      <c r="C44" s="21" t="s">
        <v>41</v>
      </c>
      <c r="D44" s="21" t="s">
        <v>42</v>
      </c>
      <c r="E44" s="16" t="s">
        <v>29</v>
      </c>
      <c r="F44" s="17" t="s">
        <v>30</v>
      </c>
      <c r="G44" s="16" t="s">
        <v>28</v>
      </c>
      <c r="H44" s="29">
        <f t="shared" si="17"/>
        <v>2</v>
      </c>
      <c r="I44" s="30">
        <f t="shared" si="18"/>
        <v>0.6666666667</v>
      </c>
      <c r="J44" s="20">
        <f t="shared" si="11"/>
        <v>1</v>
      </c>
      <c r="K44" s="16" t="s">
        <v>29</v>
      </c>
      <c r="L44" s="16" t="s">
        <v>28</v>
      </c>
      <c r="M44" s="16" t="s">
        <v>28</v>
      </c>
      <c r="N44" s="18">
        <f t="shared" si="12"/>
        <v>2</v>
      </c>
      <c r="O44" s="30">
        <f t="shared" si="19"/>
        <v>0.6666666667</v>
      </c>
      <c r="P44" s="20">
        <f t="shared" si="14"/>
        <v>0.6666666667</v>
      </c>
      <c r="Q44" s="31" t="s">
        <v>29</v>
      </c>
      <c r="R44" s="31" t="s">
        <v>28</v>
      </c>
      <c r="S44" s="31" t="s">
        <v>33</v>
      </c>
      <c r="T44" s="29">
        <f t="shared" si="20"/>
        <v>1</v>
      </c>
      <c r="U44" s="30">
        <f t="shared" si="21"/>
        <v>0.3333333333</v>
      </c>
      <c r="V44" s="32" t="s">
        <v>29</v>
      </c>
      <c r="W44" s="32" t="s">
        <v>33</v>
      </c>
      <c r="X44" s="32" t="s">
        <v>28</v>
      </c>
      <c r="Y44" s="24">
        <v>46131.0</v>
      </c>
      <c r="Z44" s="5"/>
      <c r="AA44" s="5"/>
      <c r="AB44" s="5"/>
    </row>
    <row r="45" ht="15.75" customHeight="1">
      <c r="A45" s="21">
        <v>533.0</v>
      </c>
      <c r="B45" s="21" t="s">
        <v>46</v>
      </c>
      <c r="C45" s="21" t="s">
        <v>41</v>
      </c>
      <c r="D45" s="21" t="s">
        <v>43</v>
      </c>
      <c r="E45" s="17" t="s">
        <v>30</v>
      </c>
      <c r="F45" s="17" t="s">
        <v>30</v>
      </c>
      <c r="G45" s="17" t="s">
        <v>30</v>
      </c>
      <c r="H45" s="29">
        <f t="shared" si="17"/>
        <v>0</v>
      </c>
      <c r="I45" s="30">
        <f t="shared" si="18"/>
        <v>0</v>
      </c>
      <c r="J45" s="20" t="str">
        <f t="shared" si="11"/>
        <v>XXX</v>
      </c>
      <c r="K45" s="22" t="s">
        <v>33</v>
      </c>
      <c r="L45" s="22" t="s">
        <v>28</v>
      </c>
      <c r="M45" s="22" t="s">
        <v>33</v>
      </c>
      <c r="N45" s="18">
        <f t="shared" si="12"/>
        <v>2</v>
      </c>
      <c r="O45" s="30">
        <f t="shared" si="19"/>
        <v>0.6666666667</v>
      </c>
      <c r="P45" s="20">
        <f t="shared" si="14"/>
        <v>0.6666666667</v>
      </c>
      <c r="Q45" s="31" t="s">
        <v>28</v>
      </c>
      <c r="R45" s="31" t="s">
        <v>29</v>
      </c>
      <c r="S45" s="31" t="s">
        <v>33</v>
      </c>
      <c r="T45" s="29">
        <f t="shared" si="20"/>
        <v>1</v>
      </c>
      <c r="U45" s="30">
        <f t="shared" si="21"/>
        <v>0.3333333333</v>
      </c>
      <c r="V45" s="32" t="s">
        <v>31</v>
      </c>
      <c r="W45" s="32" t="s">
        <v>28</v>
      </c>
      <c r="X45" s="32" t="s">
        <v>33</v>
      </c>
      <c r="Y45" s="13">
        <v>46131.0</v>
      </c>
      <c r="Z45" s="5"/>
      <c r="AA45" s="5"/>
      <c r="AB45" s="5"/>
    </row>
    <row r="46" ht="15.75" customHeight="1">
      <c r="A46" s="21">
        <v>534.0</v>
      </c>
      <c r="B46" s="21" t="s">
        <v>46</v>
      </c>
      <c r="C46" s="21" t="s">
        <v>41</v>
      </c>
      <c r="D46" s="21" t="s">
        <v>43</v>
      </c>
      <c r="E46" s="34" t="s">
        <v>29</v>
      </c>
      <c r="F46" s="34" t="s">
        <v>33</v>
      </c>
      <c r="G46" s="35" t="s">
        <v>30</v>
      </c>
      <c r="H46" s="29">
        <f t="shared" si="17"/>
        <v>2</v>
      </c>
      <c r="I46" s="30">
        <f t="shared" si="18"/>
        <v>0.6666666667</v>
      </c>
      <c r="J46" s="20">
        <f t="shared" si="11"/>
        <v>1</v>
      </c>
      <c r="K46" s="34" t="s">
        <v>31</v>
      </c>
      <c r="L46" s="34" t="s">
        <v>33</v>
      </c>
      <c r="M46" s="34" t="s">
        <v>29</v>
      </c>
      <c r="N46" s="18">
        <f t="shared" si="12"/>
        <v>1</v>
      </c>
      <c r="O46" s="30">
        <f t="shared" si="19"/>
        <v>0.3333333333</v>
      </c>
      <c r="P46" s="20">
        <f t="shared" si="14"/>
        <v>0.3333333333</v>
      </c>
      <c r="Q46" s="31" t="s">
        <v>29</v>
      </c>
      <c r="R46" s="31" t="s">
        <v>33</v>
      </c>
      <c r="S46" s="31" t="s">
        <v>28</v>
      </c>
      <c r="T46" s="29">
        <f t="shared" si="20"/>
        <v>3</v>
      </c>
      <c r="U46" s="30">
        <f t="shared" si="21"/>
        <v>1</v>
      </c>
      <c r="V46" s="32" t="s">
        <v>29</v>
      </c>
      <c r="W46" s="32" t="s">
        <v>33</v>
      </c>
      <c r="X46" s="32" t="s">
        <v>28</v>
      </c>
      <c r="Y46" s="24">
        <v>46131.0</v>
      </c>
      <c r="Z46" s="5"/>
      <c r="AA46" s="5"/>
      <c r="AB46" s="5"/>
    </row>
    <row r="47" ht="15.75" customHeight="1">
      <c r="A47" s="21">
        <v>535.0</v>
      </c>
      <c r="B47" s="21" t="s">
        <v>46</v>
      </c>
      <c r="C47" s="21" t="s">
        <v>41</v>
      </c>
      <c r="D47" s="21" t="s">
        <v>43</v>
      </c>
      <c r="E47" s="36" t="s">
        <v>31</v>
      </c>
      <c r="F47" s="36" t="s">
        <v>31</v>
      </c>
      <c r="G47" s="35" t="s">
        <v>30</v>
      </c>
      <c r="H47" s="29">
        <f t="shared" si="17"/>
        <v>1</v>
      </c>
      <c r="I47" s="30">
        <f t="shared" si="18"/>
        <v>0.3333333333</v>
      </c>
      <c r="J47" s="20">
        <f t="shared" si="11"/>
        <v>0.5</v>
      </c>
      <c r="K47" s="36" t="s">
        <v>31</v>
      </c>
      <c r="L47" s="36" t="s">
        <v>29</v>
      </c>
      <c r="M47" s="36" t="s">
        <v>33</v>
      </c>
      <c r="N47" s="18">
        <f t="shared" si="12"/>
        <v>3</v>
      </c>
      <c r="O47" s="30">
        <f t="shared" si="19"/>
        <v>1</v>
      </c>
      <c r="P47" s="20">
        <f t="shared" si="14"/>
        <v>1</v>
      </c>
      <c r="Q47" s="31" t="s">
        <v>28</v>
      </c>
      <c r="R47" s="31" t="s">
        <v>31</v>
      </c>
      <c r="S47" s="31" t="s">
        <v>33</v>
      </c>
      <c r="T47" s="29">
        <f t="shared" si="20"/>
        <v>1</v>
      </c>
      <c r="U47" s="30">
        <f t="shared" si="21"/>
        <v>0.3333333333</v>
      </c>
      <c r="V47" s="32" t="s">
        <v>31</v>
      </c>
      <c r="W47" s="32" t="s">
        <v>29</v>
      </c>
      <c r="X47" s="32" t="s">
        <v>33</v>
      </c>
      <c r="Y47" s="13">
        <v>46131.0</v>
      </c>
      <c r="Z47" s="5"/>
      <c r="AA47" s="5"/>
      <c r="AB47" s="5"/>
    </row>
    <row r="48" ht="15.75" customHeight="1">
      <c r="A48" s="21">
        <v>551.0</v>
      </c>
      <c r="B48" s="21" t="s">
        <v>46</v>
      </c>
      <c r="C48" s="21" t="s">
        <v>41</v>
      </c>
      <c r="D48" s="21" t="s">
        <v>44</v>
      </c>
      <c r="E48" s="17" t="s">
        <v>30</v>
      </c>
      <c r="F48" s="16" t="s">
        <v>33</v>
      </c>
      <c r="G48" s="17" t="s">
        <v>30</v>
      </c>
      <c r="H48" s="29">
        <f t="shared" si="17"/>
        <v>0</v>
      </c>
      <c r="I48" s="30">
        <f t="shared" si="18"/>
        <v>0</v>
      </c>
      <c r="J48" s="20">
        <f t="shared" si="11"/>
        <v>0</v>
      </c>
      <c r="K48" s="16" t="s">
        <v>33</v>
      </c>
      <c r="L48" s="16" t="s">
        <v>33</v>
      </c>
      <c r="M48" s="16" t="s">
        <v>29</v>
      </c>
      <c r="N48" s="18">
        <f t="shared" si="12"/>
        <v>0</v>
      </c>
      <c r="O48" s="30">
        <f t="shared" si="19"/>
        <v>0</v>
      </c>
      <c r="P48" s="20">
        <f t="shared" si="14"/>
        <v>0</v>
      </c>
      <c r="Q48" s="31" t="s">
        <v>31</v>
      </c>
      <c r="R48" s="31" t="s">
        <v>28</v>
      </c>
      <c r="S48" s="31" t="s">
        <v>28</v>
      </c>
      <c r="T48" s="29">
        <f t="shared" si="20"/>
        <v>1</v>
      </c>
      <c r="U48" s="30">
        <f t="shared" si="21"/>
        <v>0.3333333333</v>
      </c>
      <c r="V48" s="32" t="s">
        <v>31</v>
      </c>
      <c r="W48" s="32" t="s">
        <v>29</v>
      </c>
      <c r="X48" s="32" t="s">
        <v>33</v>
      </c>
      <c r="Y48" s="24">
        <v>46132.0</v>
      </c>
      <c r="Z48" s="5"/>
      <c r="AA48" s="5"/>
      <c r="AB48" s="5"/>
    </row>
    <row r="49" ht="15.75" customHeight="1">
      <c r="A49" s="21">
        <v>552.0</v>
      </c>
      <c r="B49" s="21" t="s">
        <v>46</v>
      </c>
      <c r="C49" s="21" t="s">
        <v>41</v>
      </c>
      <c r="D49" s="21" t="s">
        <v>44</v>
      </c>
      <c r="E49" s="17" t="s">
        <v>30</v>
      </c>
      <c r="F49" s="17" t="s">
        <v>30</v>
      </c>
      <c r="G49" s="22" t="s">
        <v>29</v>
      </c>
      <c r="H49" s="29">
        <f t="shared" si="17"/>
        <v>1</v>
      </c>
      <c r="I49" s="30">
        <f t="shared" si="18"/>
        <v>0.3333333333</v>
      </c>
      <c r="J49" s="20">
        <f t="shared" si="11"/>
        <v>1</v>
      </c>
      <c r="K49" s="22" t="s">
        <v>29</v>
      </c>
      <c r="L49" s="22" t="s">
        <v>28</v>
      </c>
      <c r="M49" s="22" t="s">
        <v>29</v>
      </c>
      <c r="N49" s="18">
        <f t="shared" si="12"/>
        <v>1</v>
      </c>
      <c r="O49" s="30">
        <f t="shared" si="19"/>
        <v>0.3333333333</v>
      </c>
      <c r="P49" s="20">
        <f t="shared" si="14"/>
        <v>0.3333333333</v>
      </c>
      <c r="Q49" s="31" t="s">
        <v>29</v>
      </c>
      <c r="R49" s="31" t="s">
        <v>28</v>
      </c>
      <c r="S49" s="31" t="s">
        <v>33</v>
      </c>
      <c r="T49" s="29">
        <f t="shared" si="20"/>
        <v>0</v>
      </c>
      <c r="U49" s="30">
        <f t="shared" si="21"/>
        <v>0</v>
      </c>
      <c r="V49" s="32" t="s">
        <v>28</v>
      </c>
      <c r="W49" s="32" t="s">
        <v>31</v>
      </c>
      <c r="X49" s="32" t="s">
        <v>29</v>
      </c>
      <c r="Y49" s="24">
        <v>46132.0</v>
      </c>
      <c r="Z49" s="5"/>
      <c r="AA49" s="5"/>
      <c r="AB49" s="5"/>
    </row>
    <row r="50" ht="15.75" customHeight="1">
      <c r="A50" s="21">
        <v>553.0</v>
      </c>
      <c r="B50" s="21" t="s">
        <v>46</v>
      </c>
      <c r="C50" s="21" t="s">
        <v>41</v>
      </c>
      <c r="D50" s="21" t="s">
        <v>44</v>
      </c>
      <c r="E50" s="17" t="s">
        <v>30</v>
      </c>
      <c r="F50" s="17" t="s">
        <v>30</v>
      </c>
      <c r="G50" s="17" t="s">
        <v>30</v>
      </c>
      <c r="H50" s="29">
        <f t="shared" si="17"/>
        <v>0</v>
      </c>
      <c r="I50" s="30">
        <f t="shared" si="18"/>
        <v>0</v>
      </c>
      <c r="J50" s="20" t="str">
        <f t="shared" si="11"/>
        <v>XXX</v>
      </c>
      <c r="K50" s="16" t="s">
        <v>33</v>
      </c>
      <c r="L50" s="16" t="s">
        <v>29</v>
      </c>
      <c r="M50" s="16" t="s">
        <v>29</v>
      </c>
      <c r="N50" s="18">
        <f t="shared" si="12"/>
        <v>1</v>
      </c>
      <c r="O50" s="30">
        <f t="shared" si="19"/>
        <v>0.3333333333</v>
      </c>
      <c r="P50" s="20">
        <f t="shared" si="14"/>
        <v>0.3333333333</v>
      </c>
      <c r="Q50" s="31" t="s">
        <v>33</v>
      </c>
      <c r="R50" s="31" t="s">
        <v>28</v>
      </c>
      <c r="S50" s="31" t="s">
        <v>33</v>
      </c>
      <c r="T50" s="29">
        <f t="shared" si="20"/>
        <v>2</v>
      </c>
      <c r="U50" s="30">
        <f t="shared" si="21"/>
        <v>0.6666666667</v>
      </c>
      <c r="V50" s="32" t="s">
        <v>33</v>
      </c>
      <c r="W50" s="32" t="s">
        <v>28</v>
      </c>
      <c r="X50" s="32" t="s">
        <v>31</v>
      </c>
      <c r="Y50" s="24">
        <v>46132.0</v>
      </c>
      <c r="Z50" s="5"/>
      <c r="AA50" s="5"/>
      <c r="AB50" s="5"/>
    </row>
    <row r="51" ht="15.75" customHeight="1">
      <c r="A51" s="21">
        <v>561.0</v>
      </c>
      <c r="B51" s="21" t="s">
        <v>46</v>
      </c>
      <c r="C51" s="21" t="s">
        <v>41</v>
      </c>
      <c r="D51" s="21" t="s">
        <v>45</v>
      </c>
      <c r="E51" s="22" t="s">
        <v>31</v>
      </c>
      <c r="F51" s="17" t="s">
        <v>30</v>
      </c>
      <c r="G51" s="17" t="s">
        <v>30</v>
      </c>
      <c r="H51" s="29">
        <f t="shared" si="17"/>
        <v>1</v>
      </c>
      <c r="I51" s="30">
        <f t="shared" si="18"/>
        <v>0.3333333333</v>
      </c>
      <c r="J51" s="20">
        <f t="shared" si="11"/>
        <v>1</v>
      </c>
      <c r="K51" s="22" t="s">
        <v>31</v>
      </c>
      <c r="L51" s="22" t="s">
        <v>33</v>
      </c>
      <c r="M51" s="22" t="s">
        <v>33</v>
      </c>
      <c r="N51" s="18">
        <f t="shared" si="12"/>
        <v>2</v>
      </c>
      <c r="O51" s="30">
        <f t="shared" si="19"/>
        <v>0.6666666667</v>
      </c>
      <c r="P51" s="20">
        <f t="shared" si="14"/>
        <v>0.6666666667</v>
      </c>
      <c r="Q51" s="31" t="s">
        <v>31</v>
      </c>
      <c r="R51" s="31" t="s">
        <v>28</v>
      </c>
      <c r="S51" s="31" t="s">
        <v>33</v>
      </c>
      <c r="T51" s="29">
        <f t="shared" si="20"/>
        <v>2</v>
      </c>
      <c r="U51" s="30">
        <f t="shared" si="21"/>
        <v>0.6666666667</v>
      </c>
      <c r="V51" s="32" t="s">
        <v>31</v>
      </c>
      <c r="W51" s="32" t="s">
        <v>31</v>
      </c>
      <c r="X51" s="32" t="s">
        <v>33</v>
      </c>
      <c r="Y51" s="24">
        <v>46132.0</v>
      </c>
      <c r="Z51" s="5"/>
      <c r="AA51" s="5"/>
      <c r="AB51" s="5"/>
    </row>
    <row r="52" ht="15.75" customHeight="1">
      <c r="A52" s="21">
        <v>562.0</v>
      </c>
      <c r="B52" s="21" t="s">
        <v>46</v>
      </c>
      <c r="C52" s="21" t="s">
        <v>41</v>
      </c>
      <c r="D52" s="21" t="s">
        <v>45</v>
      </c>
      <c r="E52" s="17" t="s">
        <v>30</v>
      </c>
      <c r="F52" s="16" t="s">
        <v>28</v>
      </c>
      <c r="G52" s="17" t="s">
        <v>30</v>
      </c>
      <c r="H52" s="29">
        <f t="shared" si="17"/>
        <v>1</v>
      </c>
      <c r="I52" s="30">
        <f t="shared" si="18"/>
        <v>0.3333333333</v>
      </c>
      <c r="J52" s="20">
        <f t="shared" si="11"/>
        <v>1</v>
      </c>
      <c r="K52" s="16" t="s">
        <v>28</v>
      </c>
      <c r="L52" s="16" t="s">
        <v>28</v>
      </c>
      <c r="M52" s="16" t="s">
        <v>31</v>
      </c>
      <c r="N52" s="18">
        <f t="shared" si="12"/>
        <v>2</v>
      </c>
      <c r="O52" s="30">
        <f t="shared" si="19"/>
        <v>0.6666666667</v>
      </c>
      <c r="P52" s="20">
        <f t="shared" si="14"/>
        <v>0.6666666667</v>
      </c>
      <c r="Q52" s="31" t="s">
        <v>33</v>
      </c>
      <c r="R52" s="31" t="s">
        <v>28</v>
      </c>
      <c r="S52" s="31" t="s">
        <v>29</v>
      </c>
      <c r="T52" s="29">
        <f t="shared" si="20"/>
        <v>2</v>
      </c>
      <c r="U52" s="30">
        <f t="shared" si="21"/>
        <v>0.6666666667</v>
      </c>
      <c r="V52" s="32" t="s">
        <v>28</v>
      </c>
      <c r="W52" s="32" t="s">
        <v>28</v>
      </c>
      <c r="X52" s="32" t="s">
        <v>29</v>
      </c>
      <c r="Y52" s="24">
        <v>46132.0</v>
      </c>
      <c r="Z52" s="5"/>
      <c r="AA52" s="5"/>
      <c r="AB52" s="5"/>
    </row>
    <row r="53" ht="15.75" customHeight="1">
      <c r="A53" s="21">
        <v>564.0</v>
      </c>
      <c r="B53" s="21" t="s">
        <v>46</v>
      </c>
      <c r="C53" s="21" t="s">
        <v>41</v>
      </c>
      <c r="D53" s="21" t="s">
        <v>45</v>
      </c>
      <c r="E53" s="17" t="s">
        <v>30</v>
      </c>
      <c r="F53" s="22" t="s">
        <v>29</v>
      </c>
      <c r="G53" s="22" t="s">
        <v>28</v>
      </c>
      <c r="H53" s="29">
        <f t="shared" si="17"/>
        <v>1</v>
      </c>
      <c r="I53" s="30">
        <f t="shared" si="18"/>
        <v>0.3333333333</v>
      </c>
      <c r="J53" s="20">
        <f t="shared" si="11"/>
        <v>0.5</v>
      </c>
      <c r="K53" s="22" t="s">
        <v>28</v>
      </c>
      <c r="L53" s="22" t="s">
        <v>28</v>
      </c>
      <c r="M53" s="22" t="s">
        <v>28</v>
      </c>
      <c r="N53" s="18">
        <f t="shared" si="12"/>
        <v>1</v>
      </c>
      <c r="O53" s="30">
        <f t="shared" si="19"/>
        <v>0.3333333333</v>
      </c>
      <c r="P53" s="20">
        <f t="shared" si="14"/>
        <v>0.3333333333</v>
      </c>
      <c r="Q53" s="31" t="s">
        <v>28</v>
      </c>
      <c r="R53" s="31" t="s">
        <v>29</v>
      </c>
      <c r="S53" s="31" t="s">
        <v>33</v>
      </c>
      <c r="T53" s="29">
        <f t="shared" si="20"/>
        <v>0</v>
      </c>
      <c r="U53" s="30">
        <f t="shared" si="21"/>
        <v>0</v>
      </c>
      <c r="V53" s="32" t="s">
        <v>31</v>
      </c>
      <c r="W53" s="32" t="s">
        <v>33</v>
      </c>
      <c r="X53" s="32" t="s">
        <v>28</v>
      </c>
      <c r="Y53" s="24">
        <v>46132.0</v>
      </c>
      <c r="Z53" s="5"/>
      <c r="AA53" s="5"/>
      <c r="AB53" s="5"/>
    </row>
    <row r="54" ht="15.75" customHeight="1">
      <c r="A54" s="21">
        <v>1.0</v>
      </c>
      <c r="B54" s="21" t="s">
        <v>49</v>
      </c>
      <c r="C54" s="21" t="s">
        <v>26</v>
      </c>
      <c r="D54" s="21" t="s">
        <v>27</v>
      </c>
      <c r="E54" s="17" t="s">
        <v>30</v>
      </c>
      <c r="F54" s="16" t="s">
        <v>31</v>
      </c>
      <c r="G54" s="17" t="s">
        <v>30</v>
      </c>
      <c r="H54" s="29">
        <f t="shared" si="17"/>
        <v>1</v>
      </c>
      <c r="I54" s="30">
        <f t="shared" si="18"/>
        <v>0.3333333333</v>
      </c>
      <c r="J54" s="20">
        <f t="shared" si="11"/>
        <v>1</v>
      </c>
      <c r="K54" s="16" t="s">
        <v>29</v>
      </c>
      <c r="L54" s="16" t="s">
        <v>31</v>
      </c>
      <c r="M54" s="16" t="s">
        <v>28</v>
      </c>
      <c r="N54" s="18">
        <f t="shared" si="12"/>
        <v>1</v>
      </c>
      <c r="O54" s="30">
        <f t="shared" si="19"/>
        <v>0.3333333333</v>
      </c>
      <c r="P54" s="20">
        <f t="shared" si="14"/>
        <v>0.3333333333</v>
      </c>
      <c r="Q54" s="31" t="s">
        <v>31</v>
      </c>
      <c r="R54" s="31" t="s">
        <v>31</v>
      </c>
      <c r="S54" s="31" t="s">
        <v>33</v>
      </c>
      <c r="T54" s="29">
        <f t="shared" si="20"/>
        <v>1</v>
      </c>
      <c r="U54" s="30">
        <f t="shared" si="21"/>
        <v>0.3333333333</v>
      </c>
      <c r="V54" s="32" t="s">
        <v>28</v>
      </c>
      <c r="W54" s="32" t="s">
        <v>31</v>
      </c>
      <c r="X54" s="32" t="s">
        <v>29</v>
      </c>
      <c r="Y54" s="24">
        <v>46132.0</v>
      </c>
      <c r="Z54" s="5"/>
      <c r="AA54" s="5"/>
      <c r="AB54" s="5"/>
    </row>
    <row r="55" ht="15.75" customHeight="1">
      <c r="A55" s="21">
        <v>2.0</v>
      </c>
      <c r="B55" s="21" t="s">
        <v>49</v>
      </c>
      <c r="C55" s="21" t="s">
        <v>26</v>
      </c>
      <c r="D55" s="21" t="s">
        <v>27</v>
      </c>
      <c r="E55" s="22" t="s">
        <v>29</v>
      </c>
      <c r="F55" s="17" t="s">
        <v>30</v>
      </c>
      <c r="G55" s="17" t="s">
        <v>30</v>
      </c>
      <c r="H55" s="29">
        <f t="shared" si="17"/>
        <v>0</v>
      </c>
      <c r="I55" s="30">
        <f t="shared" si="18"/>
        <v>0</v>
      </c>
      <c r="J55" s="20">
        <f t="shared" si="11"/>
        <v>0</v>
      </c>
      <c r="K55" s="22" t="s">
        <v>28</v>
      </c>
      <c r="L55" s="22" t="s">
        <v>33</v>
      </c>
      <c r="M55" s="22" t="s">
        <v>29</v>
      </c>
      <c r="N55" s="18">
        <f t="shared" si="12"/>
        <v>1</v>
      </c>
      <c r="O55" s="30">
        <f t="shared" si="19"/>
        <v>0.3333333333</v>
      </c>
      <c r="P55" s="20">
        <f t="shared" si="14"/>
        <v>0.3333333333</v>
      </c>
      <c r="Q55" s="31" t="s">
        <v>31</v>
      </c>
      <c r="R55" s="31" t="s">
        <v>29</v>
      </c>
      <c r="S55" s="31" t="s">
        <v>33</v>
      </c>
      <c r="T55" s="29">
        <f t="shared" si="20"/>
        <v>2</v>
      </c>
      <c r="U55" s="30">
        <f t="shared" si="21"/>
        <v>0.6666666667</v>
      </c>
      <c r="V55" s="32" t="s">
        <v>28</v>
      </c>
      <c r="W55" s="32" t="s">
        <v>29</v>
      </c>
      <c r="X55" s="32" t="s">
        <v>33</v>
      </c>
      <c r="Y55" s="24">
        <v>46132.0</v>
      </c>
      <c r="Z55" s="5"/>
      <c r="AA55" s="5"/>
      <c r="AB55" s="5"/>
    </row>
    <row r="56" ht="15.75" customHeight="1">
      <c r="A56" s="21">
        <v>3.0</v>
      </c>
      <c r="B56" s="21" t="s">
        <v>49</v>
      </c>
      <c r="C56" s="21" t="s">
        <v>26</v>
      </c>
      <c r="D56" s="21" t="s">
        <v>27</v>
      </c>
      <c r="E56" s="17" t="s">
        <v>30</v>
      </c>
      <c r="F56" s="17" t="s">
        <v>30</v>
      </c>
      <c r="G56" s="16" t="s">
        <v>29</v>
      </c>
      <c r="H56" s="29">
        <f t="shared" si="17"/>
        <v>1</v>
      </c>
      <c r="I56" s="30">
        <f t="shared" si="18"/>
        <v>0.3333333333</v>
      </c>
      <c r="J56" s="20">
        <f t="shared" si="11"/>
        <v>1</v>
      </c>
      <c r="K56" s="16" t="s">
        <v>28</v>
      </c>
      <c r="L56" s="16" t="s">
        <v>33</v>
      </c>
      <c r="M56" s="16" t="s">
        <v>29</v>
      </c>
      <c r="N56" s="18">
        <f t="shared" si="12"/>
        <v>1</v>
      </c>
      <c r="O56" s="30">
        <f t="shared" si="19"/>
        <v>0.3333333333</v>
      </c>
      <c r="P56" s="20">
        <f t="shared" si="14"/>
        <v>0.3333333333</v>
      </c>
      <c r="Q56" s="31" t="s">
        <v>28</v>
      </c>
      <c r="R56" s="31" t="s">
        <v>33</v>
      </c>
      <c r="S56" s="31" t="s">
        <v>29</v>
      </c>
      <c r="T56" s="29">
        <f t="shared" si="20"/>
        <v>1</v>
      </c>
      <c r="U56" s="30">
        <f t="shared" si="21"/>
        <v>0.3333333333</v>
      </c>
      <c r="V56" s="32" t="s">
        <v>33</v>
      </c>
      <c r="W56" s="32" t="s">
        <v>28</v>
      </c>
      <c r="X56" s="32" t="s">
        <v>29</v>
      </c>
      <c r="Y56" s="24">
        <v>46132.0</v>
      </c>
      <c r="Z56" s="5"/>
      <c r="AA56" s="5"/>
      <c r="AB56" s="5"/>
    </row>
    <row r="57" ht="15.75" customHeight="1">
      <c r="A57" s="21">
        <v>21.0</v>
      </c>
      <c r="B57" s="21" t="s">
        <v>49</v>
      </c>
      <c r="C57" s="21" t="s">
        <v>26</v>
      </c>
      <c r="D57" s="21" t="s">
        <v>32</v>
      </c>
      <c r="E57" s="22" t="s">
        <v>31</v>
      </c>
      <c r="F57" s="22" t="s">
        <v>33</v>
      </c>
      <c r="G57" s="17" t="s">
        <v>30</v>
      </c>
      <c r="H57" s="29">
        <f t="shared" si="17"/>
        <v>2</v>
      </c>
      <c r="I57" s="30">
        <f t="shared" si="18"/>
        <v>0.6666666667</v>
      </c>
      <c r="J57" s="20">
        <f t="shared" si="11"/>
        <v>1</v>
      </c>
      <c r="K57" s="22" t="s">
        <v>31</v>
      </c>
      <c r="L57" s="22" t="s">
        <v>33</v>
      </c>
      <c r="M57" s="22" t="s">
        <v>28</v>
      </c>
      <c r="N57" s="18">
        <f t="shared" si="12"/>
        <v>3</v>
      </c>
      <c r="O57" s="30">
        <f t="shared" si="19"/>
        <v>1</v>
      </c>
      <c r="P57" s="20">
        <f t="shared" si="14"/>
        <v>1</v>
      </c>
      <c r="Q57" s="31" t="s">
        <v>31</v>
      </c>
      <c r="R57" s="31" t="s">
        <v>33</v>
      </c>
      <c r="S57" s="31" t="s">
        <v>29</v>
      </c>
      <c r="T57" s="29">
        <f t="shared" si="20"/>
        <v>2</v>
      </c>
      <c r="U57" s="30">
        <f t="shared" si="21"/>
        <v>0.6666666667</v>
      </c>
      <c r="V57" s="32" t="s">
        <v>31</v>
      </c>
      <c r="W57" s="32" t="s">
        <v>33</v>
      </c>
      <c r="X57" s="32" t="s">
        <v>28</v>
      </c>
      <c r="Y57" s="24">
        <v>46132.0</v>
      </c>
      <c r="Z57" s="5"/>
      <c r="AA57" s="5"/>
      <c r="AB57" s="5"/>
    </row>
    <row r="58" ht="15.75" customHeight="1">
      <c r="A58" s="21">
        <v>22.0</v>
      </c>
      <c r="B58" s="21" t="s">
        <v>49</v>
      </c>
      <c r="C58" s="21" t="s">
        <v>26</v>
      </c>
      <c r="D58" s="21" t="s">
        <v>32</v>
      </c>
      <c r="E58" s="17" t="s">
        <v>30</v>
      </c>
      <c r="F58" s="17" t="s">
        <v>30</v>
      </c>
      <c r="G58" s="16" t="s">
        <v>29</v>
      </c>
      <c r="H58" s="29">
        <f t="shared" si="17"/>
        <v>1</v>
      </c>
      <c r="I58" s="30">
        <f t="shared" si="18"/>
        <v>0.3333333333</v>
      </c>
      <c r="J58" s="20">
        <f t="shared" si="11"/>
        <v>1</v>
      </c>
      <c r="K58" s="16" t="s">
        <v>29</v>
      </c>
      <c r="L58" s="16" t="s">
        <v>31</v>
      </c>
      <c r="M58" s="16" t="s">
        <v>29</v>
      </c>
      <c r="N58" s="18">
        <f t="shared" si="12"/>
        <v>2</v>
      </c>
      <c r="O58" s="30">
        <f t="shared" si="19"/>
        <v>0.6666666667</v>
      </c>
      <c r="P58" s="20">
        <f t="shared" si="14"/>
        <v>0.6666666667</v>
      </c>
      <c r="Q58" s="31" t="s">
        <v>33</v>
      </c>
      <c r="R58" s="31" t="s">
        <v>31</v>
      </c>
      <c r="S58" s="31" t="s">
        <v>29</v>
      </c>
      <c r="T58" s="29">
        <f t="shared" si="20"/>
        <v>3</v>
      </c>
      <c r="U58" s="30">
        <f t="shared" si="21"/>
        <v>1</v>
      </c>
      <c r="V58" s="32" t="s">
        <v>33</v>
      </c>
      <c r="W58" s="32" t="s">
        <v>31</v>
      </c>
      <c r="X58" s="32" t="s">
        <v>29</v>
      </c>
      <c r="Y58" s="24">
        <v>46132.0</v>
      </c>
      <c r="Z58" s="5"/>
      <c r="AA58" s="5"/>
      <c r="AB58" s="5"/>
    </row>
    <row r="59" ht="15.75" customHeight="1">
      <c r="A59" s="21">
        <v>23.0</v>
      </c>
      <c r="B59" s="21" t="s">
        <v>49</v>
      </c>
      <c r="C59" s="21" t="s">
        <v>26</v>
      </c>
      <c r="D59" s="21" t="s">
        <v>32</v>
      </c>
      <c r="E59" s="17" t="s">
        <v>30</v>
      </c>
      <c r="F59" s="17" t="s">
        <v>30</v>
      </c>
      <c r="G59" s="17" t="s">
        <v>30</v>
      </c>
      <c r="H59" s="29">
        <f t="shared" si="17"/>
        <v>0</v>
      </c>
      <c r="I59" s="30">
        <f t="shared" si="18"/>
        <v>0</v>
      </c>
      <c r="J59" s="20" t="str">
        <f t="shared" si="11"/>
        <v>XXX</v>
      </c>
      <c r="K59" s="22" t="s">
        <v>33</v>
      </c>
      <c r="L59" s="22" t="s">
        <v>31</v>
      </c>
      <c r="M59" s="22" t="s">
        <v>29</v>
      </c>
      <c r="N59" s="18">
        <f t="shared" si="12"/>
        <v>1</v>
      </c>
      <c r="O59" s="30">
        <f t="shared" si="19"/>
        <v>0.3333333333</v>
      </c>
      <c r="P59" s="20">
        <f t="shared" si="14"/>
        <v>0.3333333333</v>
      </c>
      <c r="Q59" s="31" t="s">
        <v>28</v>
      </c>
      <c r="R59" s="31" t="s">
        <v>31</v>
      </c>
      <c r="S59" s="31" t="s">
        <v>31</v>
      </c>
      <c r="T59" s="29">
        <f t="shared" si="20"/>
        <v>3</v>
      </c>
      <c r="U59" s="30">
        <f t="shared" si="21"/>
        <v>1</v>
      </c>
      <c r="V59" s="32" t="s">
        <v>28</v>
      </c>
      <c r="W59" s="32" t="s">
        <v>31</v>
      </c>
      <c r="X59" s="32" t="s">
        <v>31</v>
      </c>
      <c r="Y59" s="24">
        <v>46132.0</v>
      </c>
      <c r="Z59" s="5"/>
      <c r="AA59" s="5"/>
      <c r="AB59" s="5"/>
    </row>
    <row r="60" ht="15.75" customHeight="1">
      <c r="A60" s="21">
        <v>41.0</v>
      </c>
      <c r="B60" s="21" t="s">
        <v>49</v>
      </c>
      <c r="C60" s="21" t="s">
        <v>26</v>
      </c>
      <c r="D60" s="21" t="s">
        <v>34</v>
      </c>
      <c r="E60" s="17" t="s">
        <v>30</v>
      </c>
      <c r="F60" s="17" t="s">
        <v>30</v>
      </c>
      <c r="G60" s="16" t="s">
        <v>29</v>
      </c>
      <c r="H60" s="29">
        <f t="shared" si="17"/>
        <v>1</v>
      </c>
      <c r="I60" s="30">
        <f t="shared" si="18"/>
        <v>0.3333333333</v>
      </c>
      <c r="J60" s="20">
        <f t="shared" si="11"/>
        <v>1</v>
      </c>
      <c r="K60" s="16" t="s">
        <v>28</v>
      </c>
      <c r="L60" s="16" t="s">
        <v>28</v>
      </c>
      <c r="M60" s="16" t="s">
        <v>29</v>
      </c>
      <c r="N60" s="18">
        <f t="shared" si="12"/>
        <v>1</v>
      </c>
      <c r="O60" s="30">
        <f t="shared" si="19"/>
        <v>0.3333333333</v>
      </c>
      <c r="P60" s="20">
        <f t="shared" si="14"/>
        <v>0.3333333333</v>
      </c>
      <c r="Q60" s="31" t="s">
        <v>31</v>
      </c>
      <c r="R60" s="31" t="s">
        <v>29</v>
      </c>
      <c r="S60" s="31" t="s">
        <v>28</v>
      </c>
      <c r="T60" s="29">
        <f t="shared" si="20"/>
        <v>1</v>
      </c>
      <c r="U60" s="30">
        <f t="shared" si="21"/>
        <v>0.3333333333</v>
      </c>
      <c r="V60" s="32" t="s">
        <v>31</v>
      </c>
      <c r="W60" s="32" t="s">
        <v>33</v>
      </c>
      <c r="X60" s="32" t="s">
        <v>29</v>
      </c>
      <c r="Y60" s="24">
        <v>46132.0</v>
      </c>
      <c r="Z60" s="5"/>
      <c r="AA60" s="5"/>
      <c r="AB60" s="5"/>
    </row>
    <row r="61" ht="15.75" customHeight="1">
      <c r="A61" s="21">
        <v>42.0</v>
      </c>
      <c r="B61" s="21" t="s">
        <v>49</v>
      </c>
      <c r="C61" s="21" t="s">
        <v>26</v>
      </c>
      <c r="D61" s="21" t="s">
        <v>34</v>
      </c>
      <c r="E61" s="17" t="s">
        <v>30</v>
      </c>
      <c r="F61" s="17" t="s">
        <v>30</v>
      </c>
      <c r="G61" s="17" t="s">
        <v>30</v>
      </c>
      <c r="H61" s="29">
        <f t="shared" si="17"/>
        <v>0</v>
      </c>
      <c r="I61" s="30">
        <f t="shared" si="18"/>
        <v>0</v>
      </c>
      <c r="J61" s="20" t="str">
        <f t="shared" si="11"/>
        <v>XXX</v>
      </c>
      <c r="K61" s="22" t="s">
        <v>33</v>
      </c>
      <c r="L61" s="17" t="s">
        <v>30</v>
      </c>
      <c r="M61" s="17" t="s">
        <v>30</v>
      </c>
      <c r="N61" s="18">
        <f t="shared" si="12"/>
        <v>1</v>
      </c>
      <c r="O61" s="30">
        <f t="shared" si="19"/>
        <v>0.3333333333</v>
      </c>
      <c r="P61" s="20">
        <f t="shared" si="14"/>
        <v>1</v>
      </c>
      <c r="Q61" s="31" t="s">
        <v>28</v>
      </c>
      <c r="R61" s="31" t="s">
        <v>28</v>
      </c>
      <c r="S61" s="31" t="s">
        <v>31</v>
      </c>
      <c r="T61" s="29">
        <f t="shared" si="20"/>
        <v>2</v>
      </c>
      <c r="U61" s="30">
        <f t="shared" si="21"/>
        <v>0.6666666667</v>
      </c>
      <c r="V61" s="32" t="s">
        <v>33</v>
      </c>
      <c r="W61" s="32" t="s">
        <v>28</v>
      </c>
      <c r="X61" s="32" t="s">
        <v>31</v>
      </c>
      <c r="Y61" s="24">
        <v>46132.0</v>
      </c>
      <c r="Z61" s="5"/>
      <c r="AA61" s="5"/>
      <c r="AB61" s="5"/>
    </row>
    <row r="62" ht="15.75" customHeight="1">
      <c r="A62" s="21">
        <v>43.0</v>
      </c>
      <c r="B62" s="21" t="s">
        <v>49</v>
      </c>
      <c r="C62" s="21" t="s">
        <v>26</v>
      </c>
      <c r="D62" s="21" t="s">
        <v>34</v>
      </c>
      <c r="E62" s="17" t="s">
        <v>30</v>
      </c>
      <c r="F62" s="17" t="s">
        <v>30</v>
      </c>
      <c r="G62" s="16" t="s">
        <v>33</v>
      </c>
      <c r="H62" s="29">
        <f t="shared" si="17"/>
        <v>1</v>
      </c>
      <c r="I62" s="30">
        <f t="shared" si="18"/>
        <v>0.3333333333</v>
      </c>
      <c r="J62" s="20">
        <f t="shared" si="11"/>
        <v>1</v>
      </c>
      <c r="K62" s="16" t="s">
        <v>29</v>
      </c>
      <c r="L62" s="16" t="s">
        <v>28</v>
      </c>
      <c r="M62" s="16" t="s">
        <v>33</v>
      </c>
      <c r="N62" s="18">
        <f t="shared" si="12"/>
        <v>3</v>
      </c>
      <c r="O62" s="30">
        <f t="shared" si="19"/>
        <v>1</v>
      </c>
      <c r="P62" s="20">
        <f t="shared" si="14"/>
        <v>1</v>
      </c>
      <c r="Q62" s="31" t="s">
        <v>29</v>
      </c>
      <c r="R62" s="31" t="s">
        <v>28</v>
      </c>
      <c r="S62" s="31" t="s">
        <v>33</v>
      </c>
      <c r="T62" s="29">
        <f t="shared" si="20"/>
        <v>3</v>
      </c>
      <c r="U62" s="30">
        <f t="shared" si="21"/>
        <v>1</v>
      </c>
      <c r="V62" s="32" t="s">
        <v>29</v>
      </c>
      <c r="W62" s="32" t="s">
        <v>28</v>
      </c>
      <c r="X62" s="32" t="s">
        <v>33</v>
      </c>
      <c r="Y62" s="24">
        <v>46132.0</v>
      </c>
      <c r="Z62" s="5"/>
      <c r="AA62" s="5"/>
      <c r="AB62" s="5"/>
    </row>
    <row r="63" ht="15.75" customHeight="1">
      <c r="A63" s="21">
        <v>81.0</v>
      </c>
      <c r="B63" s="21" t="s">
        <v>49</v>
      </c>
      <c r="C63" s="21" t="s">
        <v>26</v>
      </c>
      <c r="D63" s="21" t="s">
        <v>50</v>
      </c>
      <c r="E63" s="17" t="s">
        <v>30</v>
      </c>
      <c r="F63" s="17" t="s">
        <v>30</v>
      </c>
      <c r="G63" s="17" t="s">
        <v>30</v>
      </c>
      <c r="H63" s="29">
        <f t="shared" si="17"/>
        <v>0</v>
      </c>
      <c r="I63" s="30">
        <f t="shared" si="18"/>
        <v>0</v>
      </c>
      <c r="J63" s="20" t="str">
        <f t="shared" si="11"/>
        <v>XXX</v>
      </c>
      <c r="K63" s="22" t="s">
        <v>33</v>
      </c>
      <c r="L63" s="22" t="s">
        <v>33</v>
      </c>
      <c r="M63" s="17" t="s">
        <v>30</v>
      </c>
      <c r="N63" s="18">
        <f t="shared" si="12"/>
        <v>2</v>
      </c>
      <c r="O63" s="30">
        <f t="shared" si="19"/>
        <v>0.6666666667</v>
      </c>
      <c r="P63" s="20">
        <f t="shared" si="14"/>
        <v>1</v>
      </c>
      <c r="Q63" s="31" t="s">
        <v>33</v>
      </c>
      <c r="R63" s="31" t="s">
        <v>33</v>
      </c>
      <c r="S63" s="31" t="s">
        <v>31</v>
      </c>
      <c r="T63" s="29">
        <f t="shared" si="20"/>
        <v>3</v>
      </c>
      <c r="U63" s="30">
        <f t="shared" si="21"/>
        <v>1</v>
      </c>
      <c r="V63" s="32" t="s">
        <v>33</v>
      </c>
      <c r="W63" s="32" t="s">
        <v>33</v>
      </c>
      <c r="X63" s="32" t="s">
        <v>31</v>
      </c>
      <c r="Y63" s="24">
        <v>46132.0</v>
      </c>
      <c r="Z63" s="5"/>
      <c r="AA63" s="5"/>
      <c r="AB63" s="5"/>
    </row>
    <row r="64" ht="15.75" customHeight="1">
      <c r="A64" s="21">
        <v>82.0</v>
      </c>
      <c r="B64" s="21" t="s">
        <v>49</v>
      </c>
      <c r="C64" s="21" t="s">
        <v>26</v>
      </c>
      <c r="D64" s="21" t="s">
        <v>50</v>
      </c>
      <c r="E64" s="17" t="s">
        <v>30</v>
      </c>
      <c r="F64" s="17" t="s">
        <v>30</v>
      </c>
      <c r="G64" s="17" t="s">
        <v>30</v>
      </c>
      <c r="H64" s="29">
        <f t="shared" si="17"/>
        <v>0</v>
      </c>
      <c r="I64" s="30">
        <f t="shared" si="18"/>
        <v>0</v>
      </c>
      <c r="J64" s="20" t="str">
        <f t="shared" si="11"/>
        <v>XXX</v>
      </c>
      <c r="K64" s="17" t="s">
        <v>30</v>
      </c>
      <c r="L64" s="17" t="s">
        <v>30</v>
      </c>
      <c r="M64" s="17" t="s">
        <v>30</v>
      </c>
      <c r="N64" s="18">
        <f t="shared" si="12"/>
        <v>0</v>
      </c>
      <c r="O64" s="30">
        <f t="shared" si="19"/>
        <v>0</v>
      </c>
      <c r="P64" s="20" t="str">
        <f t="shared" si="14"/>
        <v>XXX</v>
      </c>
      <c r="Q64" s="31" t="s">
        <v>31</v>
      </c>
      <c r="R64" s="31" t="s">
        <v>33</v>
      </c>
      <c r="S64" s="31" t="s">
        <v>33</v>
      </c>
      <c r="T64" s="29">
        <f t="shared" si="20"/>
        <v>1</v>
      </c>
      <c r="U64" s="30">
        <f t="shared" si="21"/>
        <v>0.3333333333</v>
      </c>
      <c r="V64" s="32" t="s">
        <v>33</v>
      </c>
      <c r="W64" s="32" t="s">
        <v>33</v>
      </c>
      <c r="X64" s="32" t="s">
        <v>31</v>
      </c>
      <c r="Y64" s="24">
        <v>46132.0</v>
      </c>
      <c r="Z64" s="5"/>
      <c r="AA64" s="5"/>
      <c r="AB64" s="5"/>
    </row>
    <row r="65" ht="15.75" customHeight="1">
      <c r="A65" s="21">
        <v>85.0</v>
      </c>
      <c r="B65" s="21" t="s">
        <v>49</v>
      </c>
      <c r="C65" s="21" t="s">
        <v>26</v>
      </c>
      <c r="D65" s="21" t="s">
        <v>50</v>
      </c>
      <c r="E65" s="17" t="s">
        <v>30</v>
      </c>
      <c r="F65" s="22" t="s">
        <v>29</v>
      </c>
      <c r="G65" s="22" t="s">
        <v>31</v>
      </c>
      <c r="H65" s="29">
        <f t="shared" si="17"/>
        <v>0</v>
      </c>
      <c r="I65" s="30">
        <f t="shared" si="18"/>
        <v>0</v>
      </c>
      <c r="J65" s="20">
        <f t="shared" si="11"/>
        <v>0</v>
      </c>
      <c r="K65" s="22" t="s">
        <v>31</v>
      </c>
      <c r="L65" s="22" t="s">
        <v>33</v>
      </c>
      <c r="M65" s="22" t="s">
        <v>29</v>
      </c>
      <c r="N65" s="18">
        <f t="shared" si="12"/>
        <v>2</v>
      </c>
      <c r="O65" s="30">
        <f t="shared" si="19"/>
        <v>0.6666666667</v>
      </c>
      <c r="P65" s="20">
        <f t="shared" si="14"/>
        <v>0.6666666667</v>
      </c>
      <c r="Q65" s="31" t="s">
        <v>31</v>
      </c>
      <c r="R65" s="31" t="s">
        <v>31</v>
      </c>
      <c r="S65" s="31" t="s">
        <v>29</v>
      </c>
      <c r="T65" s="29">
        <f t="shared" si="20"/>
        <v>1</v>
      </c>
      <c r="U65" s="30">
        <f t="shared" si="21"/>
        <v>0.3333333333</v>
      </c>
      <c r="V65" s="32" t="s">
        <v>33</v>
      </c>
      <c r="W65" s="32" t="s">
        <v>33</v>
      </c>
      <c r="X65" s="32" t="s">
        <v>29</v>
      </c>
      <c r="Y65" s="24">
        <v>46132.0</v>
      </c>
      <c r="Z65" s="5"/>
      <c r="AA65" s="5"/>
      <c r="AB65" s="5"/>
    </row>
    <row r="66" ht="15.75" customHeight="1">
      <c r="A66" s="21">
        <v>91.0</v>
      </c>
      <c r="B66" s="21" t="s">
        <v>49</v>
      </c>
      <c r="C66" s="21" t="s">
        <v>36</v>
      </c>
      <c r="D66" s="21" t="s">
        <v>37</v>
      </c>
      <c r="E66" s="17" t="s">
        <v>30</v>
      </c>
      <c r="F66" s="17" t="s">
        <v>30</v>
      </c>
      <c r="G66" s="17" t="s">
        <v>30</v>
      </c>
      <c r="H66" s="29">
        <f t="shared" si="17"/>
        <v>0</v>
      </c>
      <c r="I66" s="30">
        <f t="shared" si="18"/>
        <v>0</v>
      </c>
      <c r="J66" s="20" t="str">
        <f t="shared" si="11"/>
        <v>XXX</v>
      </c>
      <c r="K66" s="17" t="s">
        <v>30</v>
      </c>
      <c r="L66" s="17" t="s">
        <v>30</v>
      </c>
      <c r="M66" s="17" t="s">
        <v>30</v>
      </c>
      <c r="N66" s="18">
        <f t="shared" si="12"/>
        <v>0</v>
      </c>
      <c r="O66" s="30">
        <f t="shared" si="19"/>
        <v>0</v>
      </c>
      <c r="P66" s="20" t="str">
        <f t="shared" si="14"/>
        <v>XXX</v>
      </c>
      <c r="Q66" s="31" t="s">
        <v>29</v>
      </c>
      <c r="R66" s="31" t="s">
        <v>29</v>
      </c>
      <c r="S66" s="31" t="s">
        <v>33</v>
      </c>
      <c r="T66" s="29">
        <f t="shared" si="20"/>
        <v>2</v>
      </c>
      <c r="U66" s="30">
        <f t="shared" si="21"/>
        <v>0.6666666667</v>
      </c>
      <c r="V66" s="32" t="s">
        <v>29</v>
      </c>
      <c r="W66" s="32" t="s">
        <v>33</v>
      </c>
      <c r="X66" s="32" t="s">
        <v>33</v>
      </c>
      <c r="Y66" s="24">
        <v>46132.0</v>
      </c>
      <c r="Z66" s="5"/>
      <c r="AA66" s="5"/>
      <c r="AB66" s="5"/>
    </row>
    <row r="67" ht="15.75" customHeight="1">
      <c r="A67" s="21">
        <v>92.0</v>
      </c>
      <c r="B67" s="21" t="s">
        <v>49</v>
      </c>
      <c r="C67" s="21" t="s">
        <v>36</v>
      </c>
      <c r="D67" s="21" t="s">
        <v>37</v>
      </c>
      <c r="E67" s="17" t="s">
        <v>30</v>
      </c>
      <c r="F67" s="17" t="s">
        <v>30</v>
      </c>
      <c r="G67" s="17" t="s">
        <v>30</v>
      </c>
      <c r="H67" s="29">
        <f t="shared" si="17"/>
        <v>0</v>
      </c>
      <c r="I67" s="30">
        <f t="shared" si="18"/>
        <v>0</v>
      </c>
      <c r="J67" s="20" t="str">
        <f t="shared" si="11"/>
        <v>XXX</v>
      </c>
      <c r="K67" s="22" t="s">
        <v>29</v>
      </c>
      <c r="L67" s="22" t="s">
        <v>33</v>
      </c>
      <c r="M67" s="22" t="s">
        <v>33</v>
      </c>
      <c r="N67" s="18">
        <f t="shared" si="12"/>
        <v>0</v>
      </c>
      <c r="O67" s="30">
        <f t="shared" si="19"/>
        <v>0</v>
      </c>
      <c r="P67" s="20">
        <f t="shared" si="14"/>
        <v>0</v>
      </c>
      <c r="Q67" s="31" t="s">
        <v>28</v>
      </c>
      <c r="R67" s="31" t="s">
        <v>29</v>
      </c>
      <c r="S67" s="31" t="s">
        <v>28</v>
      </c>
      <c r="T67" s="29">
        <f t="shared" si="20"/>
        <v>3</v>
      </c>
      <c r="U67" s="30">
        <f t="shared" si="21"/>
        <v>1</v>
      </c>
      <c r="V67" s="32" t="s">
        <v>28</v>
      </c>
      <c r="W67" s="32" t="s">
        <v>29</v>
      </c>
      <c r="X67" s="32" t="s">
        <v>28</v>
      </c>
      <c r="Y67" s="24">
        <v>46132.0</v>
      </c>
      <c r="Z67" s="5"/>
      <c r="AA67" s="5"/>
      <c r="AB67" s="5"/>
    </row>
    <row r="68" ht="15.75" customHeight="1">
      <c r="A68" s="21">
        <v>93.0</v>
      </c>
      <c r="B68" s="21" t="s">
        <v>49</v>
      </c>
      <c r="C68" s="21" t="s">
        <v>36</v>
      </c>
      <c r="D68" s="21" t="s">
        <v>37</v>
      </c>
      <c r="E68" s="16" t="s">
        <v>29</v>
      </c>
      <c r="F68" s="17" t="s">
        <v>30</v>
      </c>
      <c r="G68" s="17" t="s">
        <v>30</v>
      </c>
      <c r="H68" s="29">
        <f t="shared" si="17"/>
        <v>1</v>
      </c>
      <c r="I68" s="30">
        <f t="shared" si="18"/>
        <v>0.3333333333</v>
      </c>
      <c r="J68" s="20">
        <f t="shared" si="11"/>
        <v>1</v>
      </c>
      <c r="K68" s="16" t="s">
        <v>29</v>
      </c>
      <c r="L68" s="16" t="s">
        <v>29</v>
      </c>
      <c r="M68" s="16" t="s">
        <v>33</v>
      </c>
      <c r="N68" s="18">
        <f t="shared" si="12"/>
        <v>1</v>
      </c>
      <c r="O68" s="30">
        <f t="shared" si="19"/>
        <v>0.3333333333</v>
      </c>
      <c r="P68" s="20">
        <f t="shared" si="14"/>
        <v>0.3333333333</v>
      </c>
      <c r="Q68" s="31" t="s">
        <v>29</v>
      </c>
      <c r="R68" s="31" t="s">
        <v>29</v>
      </c>
      <c r="S68" s="31" t="s">
        <v>33</v>
      </c>
      <c r="T68" s="29">
        <f t="shared" si="20"/>
        <v>1</v>
      </c>
      <c r="U68" s="30">
        <f t="shared" si="21"/>
        <v>0.3333333333</v>
      </c>
      <c r="V68" s="32" t="s">
        <v>29</v>
      </c>
      <c r="W68" s="32" t="s">
        <v>33</v>
      </c>
      <c r="X68" s="32" t="s">
        <v>28</v>
      </c>
      <c r="Y68" s="24">
        <v>46132.0</v>
      </c>
      <c r="Z68" s="5"/>
      <c r="AA68" s="5"/>
      <c r="AB68" s="5"/>
    </row>
    <row r="69" ht="15.75" customHeight="1">
      <c r="A69" s="21">
        <v>101.0</v>
      </c>
      <c r="B69" s="21" t="s">
        <v>49</v>
      </c>
      <c r="C69" s="21" t="s">
        <v>36</v>
      </c>
      <c r="D69" s="21" t="s">
        <v>38</v>
      </c>
      <c r="E69" s="17" t="s">
        <v>30</v>
      </c>
      <c r="F69" s="17" t="s">
        <v>30</v>
      </c>
      <c r="G69" s="17" t="s">
        <v>30</v>
      </c>
      <c r="H69" s="29">
        <f t="shared" si="17"/>
        <v>0</v>
      </c>
      <c r="I69" s="30">
        <f t="shared" si="18"/>
        <v>0</v>
      </c>
      <c r="J69" s="20" t="str">
        <f t="shared" si="11"/>
        <v>XXX</v>
      </c>
      <c r="K69" s="22" t="s">
        <v>31</v>
      </c>
      <c r="L69" s="22" t="s">
        <v>29</v>
      </c>
      <c r="M69" s="22" t="s">
        <v>33</v>
      </c>
      <c r="N69" s="18">
        <f t="shared" si="12"/>
        <v>3</v>
      </c>
      <c r="O69" s="30">
        <f t="shared" si="19"/>
        <v>1</v>
      </c>
      <c r="P69" s="20">
        <f t="shared" si="14"/>
        <v>1</v>
      </c>
      <c r="Q69" s="31" t="s">
        <v>31</v>
      </c>
      <c r="R69" s="31" t="s">
        <v>29</v>
      </c>
      <c r="S69" s="31" t="s">
        <v>31</v>
      </c>
      <c r="T69" s="29">
        <f t="shared" si="20"/>
        <v>2</v>
      </c>
      <c r="U69" s="30">
        <f t="shared" si="21"/>
        <v>0.6666666667</v>
      </c>
      <c r="V69" s="32" t="s">
        <v>31</v>
      </c>
      <c r="W69" s="32" t="s">
        <v>29</v>
      </c>
      <c r="X69" s="32" t="s">
        <v>33</v>
      </c>
      <c r="Y69" s="24">
        <v>46132.0</v>
      </c>
      <c r="Z69" s="5"/>
      <c r="AA69" s="5"/>
      <c r="AB69" s="5"/>
    </row>
    <row r="70" ht="15.75" customHeight="1">
      <c r="A70" s="21">
        <v>103.0</v>
      </c>
      <c r="B70" s="21" t="s">
        <v>49</v>
      </c>
      <c r="C70" s="21" t="s">
        <v>36</v>
      </c>
      <c r="D70" s="21" t="s">
        <v>38</v>
      </c>
      <c r="E70" s="17" t="s">
        <v>30</v>
      </c>
      <c r="F70" s="17" t="s">
        <v>30</v>
      </c>
      <c r="G70" s="17" t="s">
        <v>30</v>
      </c>
      <c r="H70" s="29">
        <f t="shared" si="17"/>
        <v>0</v>
      </c>
      <c r="I70" s="30">
        <f t="shared" si="18"/>
        <v>0</v>
      </c>
      <c r="J70" s="20" t="str">
        <f t="shared" si="11"/>
        <v>XXX</v>
      </c>
      <c r="K70" s="16" t="s">
        <v>33</v>
      </c>
      <c r="L70" s="17" t="s">
        <v>30</v>
      </c>
      <c r="M70" s="16" t="s">
        <v>29</v>
      </c>
      <c r="N70" s="18">
        <f t="shared" si="12"/>
        <v>0</v>
      </c>
      <c r="O70" s="30">
        <f t="shared" si="19"/>
        <v>0</v>
      </c>
      <c r="P70" s="20">
        <f t="shared" si="14"/>
        <v>0</v>
      </c>
      <c r="Q70" s="31" t="s">
        <v>29</v>
      </c>
      <c r="R70" s="31" t="s">
        <v>28</v>
      </c>
      <c r="S70" s="31" t="s">
        <v>31</v>
      </c>
      <c r="T70" s="29">
        <f t="shared" si="20"/>
        <v>2</v>
      </c>
      <c r="U70" s="30">
        <f t="shared" si="21"/>
        <v>0.6666666667</v>
      </c>
      <c r="V70" s="32" t="s">
        <v>31</v>
      </c>
      <c r="W70" s="32" t="s">
        <v>28</v>
      </c>
      <c r="X70" s="32" t="s">
        <v>31</v>
      </c>
      <c r="Y70" s="24">
        <v>46132.0</v>
      </c>
      <c r="Z70" s="5"/>
      <c r="AA70" s="5"/>
      <c r="AB70" s="5"/>
    </row>
    <row r="71" ht="15.75" customHeight="1">
      <c r="A71" s="21">
        <v>104.0</v>
      </c>
      <c r="B71" s="21" t="s">
        <v>49</v>
      </c>
      <c r="C71" s="21" t="s">
        <v>36</v>
      </c>
      <c r="D71" s="21" t="s">
        <v>38</v>
      </c>
      <c r="E71" s="17" t="s">
        <v>30</v>
      </c>
      <c r="F71" s="22" t="s">
        <v>28</v>
      </c>
      <c r="G71" s="17" t="s">
        <v>30</v>
      </c>
      <c r="H71" s="29">
        <f t="shared" si="17"/>
        <v>1</v>
      </c>
      <c r="I71" s="30">
        <f t="shared" si="18"/>
        <v>0.3333333333</v>
      </c>
      <c r="J71" s="20">
        <f t="shared" si="11"/>
        <v>1</v>
      </c>
      <c r="K71" s="22" t="s">
        <v>31</v>
      </c>
      <c r="L71" s="22" t="s">
        <v>28</v>
      </c>
      <c r="M71" s="22" t="s">
        <v>29</v>
      </c>
      <c r="N71" s="18">
        <f t="shared" si="12"/>
        <v>2</v>
      </c>
      <c r="O71" s="30">
        <f t="shared" si="19"/>
        <v>0.6666666667</v>
      </c>
      <c r="P71" s="20">
        <f t="shared" si="14"/>
        <v>0.6666666667</v>
      </c>
      <c r="Q71" s="31" t="s">
        <v>31</v>
      </c>
      <c r="R71" s="31" t="s">
        <v>28</v>
      </c>
      <c r="S71" s="31" t="s">
        <v>33</v>
      </c>
      <c r="T71" s="29">
        <f t="shared" si="20"/>
        <v>2</v>
      </c>
      <c r="U71" s="30">
        <f t="shared" si="21"/>
        <v>0.6666666667</v>
      </c>
      <c r="V71" s="32" t="s">
        <v>31</v>
      </c>
      <c r="W71" s="32" t="s">
        <v>28</v>
      </c>
      <c r="X71" s="32" t="s">
        <v>28</v>
      </c>
      <c r="Y71" s="24">
        <v>46132.0</v>
      </c>
      <c r="Z71" s="5"/>
      <c r="AA71" s="5"/>
      <c r="AB71" s="5"/>
    </row>
    <row r="72" ht="15.75" customHeight="1">
      <c r="A72" s="21">
        <v>111.0</v>
      </c>
      <c r="B72" s="21" t="s">
        <v>49</v>
      </c>
      <c r="C72" s="21" t="s">
        <v>36</v>
      </c>
      <c r="D72" s="21" t="s">
        <v>47</v>
      </c>
      <c r="E72" s="17" t="s">
        <v>30</v>
      </c>
      <c r="F72" s="17" t="s">
        <v>30</v>
      </c>
      <c r="G72" s="17" t="s">
        <v>30</v>
      </c>
      <c r="H72" s="29">
        <f t="shared" si="17"/>
        <v>0</v>
      </c>
      <c r="I72" s="30">
        <f t="shared" si="18"/>
        <v>0</v>
      </c>
      <c r="J72" s="20" t="str">
        <f t="shared" si="11"/>
        <v>XXX</v>
      </c>
      <c r="K72" s="16" t="s">
        <v>33</v>
      </c>
      <c r="L72" s="16" t="s">
        <v>29</v>
      </c>
      <c r="M72" s="16" t="s">
        <v>29</v>
      </c>
      <c r="N72" s="18">
        <f t="shared" si="12"/>
        <v>2</v>
      </c>
      <c r="O72" s="30">
        <f t="shared" si="19"/>
        <v>0.6666666667</v>
      </c>
      <c r="P72" s="20">
        <f t="shared" si="14"/>
        <v>0.6666666667</v>
      </c>
      <c r="Q72" s="31" t="s">
        <v>33</v>
      </c>
      <c r="R72" s="31" t="s">
        <v>29</v>
      </c>
      <c r="S72" s="31" t="s">
        <v>28</v>
      </c>
      <c r="T72" s="29">
        <f t="shared" si="20"/>
        <v>3</v>
      </c>
      <c r="U72" s="30">
        <f t="shared" si="21"/>
        <v>1</v>
      </c>
      <c r="V72" s="32" t="s">
        <v>33</v>
      </c>
      <c r="W72" s="32" t="s">
        <v>29</v>
      </c>
      <c r="X72" s="32" t="s">
        <v>28</v>
      </c>
      <c r="Y72" s="24">
        <v>46132.0</v>
      </c>
      <c r="Z72" s="5"/>
      <c r="AA72" s="5"/>
      <c r="AB72" s="5"/>
    </row>
    <row r="73" ht="15.75" customHeight="1">
      <c r="A73" s="21">
        <v>112.0</v>
      </c>
      <c r="B73" s="21" t="s">
        <v>49</v>
      </c>
      <c r="C73" s="21" t="s">
        <v>36</v>
      </c>
      <c r="D73" s="21" t="s">
        <v>47</v>
      </c>
      <c r="E73" s="17" t="s">
        <v>30</v>
      </c>
      <c r="F73" s="22" t="s">
        <v>28</v>
      </c>
      <c r="G73" s="17" t="s">
        <v>30</v>
      </c>
      <c r="H73" s="29">
        <f t="shared" si="17"/>
        <v>1</v>
      </c>
      <c r="I73" s="30">
        <f t="shared" si="18"/>
        <v>0.3333333333</v>
      </c>
      <c r="J73" s="20">
        <f t="shared" si="11"/>
        <v>1</v>
      </c>
      <c r="K73" s="17" t="s">
        <v>30</v>
      </c>
      <c r="L73" s="22" t="s">
        <v>28</v>
      </c>
      <c r="M73" s="22" t="s">
        <v>29</v>
      </c>
      <c r="N73" s="18">
        <f t="shared" si="12"/>
        <v>2</v>
      </c>
      <c r="O73" s="30">
        <f t="shared" si="19"/>
        <v>0.6666666667</v>
      </c>
      <c r="P73" s="20">
        <f t="shared" si="14"/>
        <v>1</v>
      </c>
      <c r="Q73" s="31" t="s">
        <v>28</v>
      </c>
      <c r="R73" s="31" t="s">
        <v>28</v>
      </c>
      <c r="S73" s="31" t="s">
        <v>29</v>
      </c>
      <c r="T73" s="29">
        <f t="shared" si="20"/>
        <v>2</v>
      </c>
      <c r="U73" s="30">
        <f t="shared" si="21"/>
        <v>0.6666666667</v>
      </c>
      <c r="V73" s="32" t="s">
        <v>33</v>
      </c>
      <c r="W73" s="32" t="s">
        <v>28</v>
      </c>
      <c r="X73" s="32" t="s">
        <v>29</v>
      </c>
      <c r="Y73" s="24">
        <v>46132.0</v>
      </c>
      <c r="Z73" s="5"/>
      <c r="AA73" s="5"/>
      <c r="AB73" s="5"/>
    </row>
    <row r="74" ht="15.75" customHeight="1">
      <c r="A74" s="21">
        <v>113.0</v>
      </c>
      <c r="B74" s="21" t="s">
        <v>49</v>
      </c>
      <c r="C74" s="21" t="s">
        <v>36</v>
      </c>
      <c r="D74" s="21" t="s">
        <v>47</v>
      </c>
      <c r="E74" s="17" t="s">
        <v>30</v>
      </c>
      <c r="F74" s="17" t="s">
        <v>30</v>
      </c>
      <c r="G74" s="17" t="s">
        <v>30</v>
      </c>
      <c r="H74" s="29">
        <f t="shared" si="17"/>
        <v>0</v>
      </c>
      <c r="I74" s="30">
        <f t="shared" si="18"/>
        <v>0</v>
      </c>
      <c r="J74" s="20" t="str">
        <f t="shared" si="11"/>
        <v>XXX</v>
      </c>
      <c r="K74" s="16" t="s">
        <v>31</v>
      </c>
      <c r="L74" s="16" t="s">
        <v>33</v>
      </c>
      <c r="M74" s="16" t="s">
        <v>29</v>
      </c>
      <c r="N74" s="18">
        <f t="shared" si="12"/>
        <v>2</v>
      </c>
      <c r="O74" s="30">
        <f t="shared" si="19"/>
        <v>0.6666666667</v>
      </c>
      <c r="P74" s="20">
        <f t="shared" si="14"/>
        <v>0.6666666667</v>
      </c>
      <c r="Q74" s="31" t="s">
        <v>31</v>
      </c>
      <c r="R74" s="31" t="s">
        <v>29</v>
      </c>
      <c r="S74" s="31" t="s">
        <v>33</v>
      </c>
      <c r="T74" s="29">
        <f t="shared" si="20"/>
        <v>2</v>
      </c>
      <c r="U74" s="30">
        <f t="shared" si="21"/>
        <v>0.6666666667</v>
      </c>
      <c r="V74" s="32" t="s">
        <v>31</v>
      </c>
      <c r="W74" s="32" t="s">
        <v>33</v>
      </c>
      <c r="X74" s="32" t="s">
        <v>33</v>
      </c>
      <c r="Y74" s="24">
        <v>46132.0</v>
      </c>
      <c r="Z74" s="5"/>
      <c r="AA74" s="5"/>
      <c r="AB74" s="5"/>
    </row>
    <row r="75" ht="15.75" customHeight="1">
      <c r="A75" s="21">
        <v>121.0</v>
      </c>
      <c r="B75" s="21" t="s">
        <v>49</v>
      </c>
      <c r="C75" s="21" t="s">
        <v>36</v>
      </c>
      <c r="D75" s="21" t="s">
        <v>51</v>
      </c>
      <c r="E75" s="22" t="s">
        <v>28</v>
      </c>
      <c r="F75" s="17" t="s">
        <v>30</v>
      </c>
      <c r="G75" s="22" t="s">
        <v>29</v>
      </c>
      <c r="H75" s="29">
        <f t="shared" si="17"/>
        <v>1</v>
      </c>
      <c r="I75" s="30">
        <f t="shared" si="18"/>
        <v>0.3333333333</v>
      </c>
      <c r="J75" s="20">
        <f t="shared" si="11"/>
        <v>0.5</v>
      </c>
      <c r="K75" s="22" t="s">
        <v>33</v>
      </c>
      <c r="L75" s="22" t="s">
        <v>29</v>
      </c>
      <c r="M75" s="22" t="s">
        <v>29</v>
      </c>
      <c r="N75" s="18">
        <f t="shared" si="12"/>
        <v>3</v>
      </c>
      <c r="O75" s="30">
        <f t="shared" si="19"/>
        <v>1</v>
      </c>
      <c r="P75" s="20">
        <f t="shared" si="14"/>
        <v>1</v>
      </c>
      <c r="Q75" s="31" t="s">
        <v>33</v>
      </c>
      <c r="R75" s="31" t="s">
        <v>29</v>
      </c>
      <c r="S75" s="31" t="s">
        <v>29</v>
      </c>
      <c r="T75" s="29">
        <f t="shared" si="20"/>
        <v>3</v>
      </c>
      <c r="U75" s="30">
        <f t="shared" si="21"/>
        <v>1</v>
      </c>
      <c r="V75" s="32" t="s">
        <v>33</v>
      </c>
      <c r="W75" s="32" t="s">
        <v>29</v>
      </c>
      <c r="X75" s="32" t="s">
        <v>29</v>
      </c>
      <c r="Y75" s="24">
        <v>46132.0</v>
      </c>
      <c r="Z75" s="5"/>
      <c r="AA75" s="5"/>
      <c r="AB75" s="5"/>
    </row>
    <row r="76" ht="15.75" customHeight="1">
      <c r="A76" s="21">
        <v>122.0</v>
      </c>
      <c r="B76" s="21" t="s">
        <v>49</v>
      </c>
      <c r="C76" s="21" t="s">
        <v>36</v>
      </c>
      <c r="D76" s="21" t="s">
        <v>51</v>
      </c>
      <c r="E76" s="17" t="s">
        <v>30</v>
      </c>
      <c r="F76" s="17" t="s">
        <v>30</v>
      </c>
      <c r="G76" s="17" t="s">
        <v>30</v>
      </c>
      <c r="H76" s="29">
        <f t="shared" si="17"/>
        <v>0</v>
      </c>
      <c r="I76" s="30">
        <f t="shared" si="18"/>
        <v>0</v>
      </c>
      <c r="J76" s="20" t="str">
        <f t="shared" si="11"/>
        <v>XXX</v>
      </c>
      <c r="K76" s="16" t="s">
        <v>33</v>
      </c>
      <c r="L76" s="16" t="s">
        <v>29</v>
      </c>
      <c r="M76" s="16" t="s">
        <v>29</v>
      </c>
      <c r="N76" s="18">
        <f t="shared" si="12"/>
        <v>2</v>
      </c>
      <c r="O76" s="30">
        <f t="shared" si="19"/>
        <v>0.6666666667</v>
      </c>
      <c r="P76" s="20">
        <f t="shared" si="14"/>
        <v>0.6666666667</v>
      </c>
      <c r="Q76" s="31" t="s">
        <v>33</v>
      </c>
      <c r="R76" s="31" t="s">
        <v>29</v>
      </c>
      <c r="S76" s="31" t="s">
        <v>33</v>
      </c>
      <c r="T76" s="29">
        <f t="shared" si="20"/>
        <v>2</v>
      </c>
      <c r="U76" s="30">
        <f t="shared" si="21"/>
        <v>0.6666666667</v>
      </c>
      <c r="V76" s="32" t="s">
        <v>33</v>
      </c>
      <c r="W76" s="32" t="s">
        <v>29</v>
      </c>
      <c r="X76" s="32" t="s">
        <v>28</v>
      </c>
      <c r="Y76" s="24">
        <v>46132.0</v>
      </c>
      <c r="Z76" s="5"/>
      <c r="AA76" s="5"/>
      <c r="AB76" s="5"/>
    </row>
    <row r="77" ht="15.75" customHeight="1">
      <c r="A77" s="21">
        <v>123.0</v>
      </c>
      <c r="B77" s="21" t="s">
        <v>49</v>
      </c>
      <c r="C77" s="21" t="s">
        <v>36</v>
      </c>
      <c r="D77" s="21" t="s">
        <v>51</v>
      </c>
      <c r="E77" s="17" t="s">
        <v>30</v>
      </c>
      <c r="F77" s="22" t="s">
        <v>28</v>
      </c>
      <c r="G77" s="17" t="s">
        <v>30</v>
      </c>
      <c r="H77" s="29">
        <f t="shared" si="17"/>
        <v>1</v>
      </c>
      <c r="I77" s="30">
        <f t="shared" si="18"/>
        <v>0.3333333333</v>
      </c>
      <c r="J77" s="20">
        <f t="shared" si="11"/>
        <v>1</v>
      </c>
      <c r="K77" s="22" t="s">
        <v>29</v>
      </c>
      <c r="L77" s="22" t="s">
        <v>28</v>
      </c>
      <c r="M77" s="22" t="s">
        <v>33</v>
      </c>
      <c r="N77" s="18">
        <f t="shared" si="12"/>
        <v>1</v>
      </c>
      <c r="O77" s="30">
        <f t="shared" si="19"/>
        <v>0.3333333333</v>
      </c>
      <c r="P77" s="20">
        <f t="shared" si="14"/>
        <v>0.3333333333</v>
      </c>
      <c r="Q77" s="31" t="s">
        <v>28</v>
      </c>
      <c r="R77" s="31" t="s">
        <v>28</v>
      </c>
      <c r="S77" s="31" t="s">
        <v>33</v>
      </c>
      <c r="T77" s="29">
        <f t="shared" si="20"/>
        <v>2</v>
      </c>
      <c r="U77" s="30">
        <f t="shared" si="21"/>
        <v>0.6666666667</v>
      </c>
      <c r="V77" s="32" t="s">
        <v>28</v>
      </c>
      <c r="W77" s="32" t="s">
        <v>28</v>
      </c>
      <c r="X77" s="32" t="s">
        <v>28</v>
      </c>
      <c r="Y77" s="24">
        <v>46132.0</v>
      </c>
      <c r="Z77" s="5"/>
      <c r="AA77" s="5"/>
      <c r="AB77" s="5"/>
    </row>
    <row r="78" ht="15.75" customHeight="1">
      <c r="A78" s="21">
        <v>221.0</v>
      </c>
      <c r="B78" s="21" t="s">
        <v>49</v>
      </c>
      <c r="C78" s="21" t="s">
        <v>41</v>
      </c>
      <c r="D78" s="21" t="s">
        <v>42</v>
      </c>
      <c r="E78" s="17" t="s">
        <v>30</v>
      </c>
      <c r="F78" s="17" t="s">
        <v>30</v>
      </c>
      <c r="G78" s="17" t="s">
        <v>30</v>
      </c>
      <c r="H78" s="29">
        <f t="shared" si="17"/>
        <v>0</v>
      </c>
      <c r="I78" s="30">
        <f t="shared" si="18"/>
        <v>0</v>
      </c>
      <c r="J78" s="20" t="str">
        <f t="shared" si="11"/>
        <v>XXX</v>
      </c>
      <c r="K78" s="16" t="s">
        <v>29</v>
      </c>
      <c r="L78" s="17" t="s">
        <v>30</v>
      </c>
      <c r="M78" s="16" t="s">
        <v>29</v>
      </c>
      <c r="N78" s="18">
        <f t="shared" si="12"/>
        <v>0</v>
      </c>
      <c r="O78" s="30">
        <f t="shared" si="19"/>
        <v>0</v>
      </c>
      <c r="P78" s="20">
        <f t="shared" si="14"/>
        <v>0</v>
      </c>
      <c r="Q78" s="31" t="s">
        <v>29</v>
      </c>
      <c r="R78" s="31" t="s">
        <v>29</v>
      </c>
      <c r="S78" s="31" t="s">
        <v>31</v>
      </c>
      <c r="T78" s="29">
        <f t="shared" si="20"/>
        <v>1</v>
      </c>
      <c r="U78" s="30">
        <f t="shared" si="21"/>
        <v>0.3333333333</v>
      </c>
      <c r="V78" s="32" t="s">
        <v>33</v>
      </c>
      <c r="W78" s="32" t="s">
        <v>28</v>
      </c>
      <c r="X78" s="32" t="s">
        <v>31</v>
      </c>
      <c r="Y78" s="24">
        <v>46132.0</v>
      </c>
      <c r="Z78" s="5"/>
      <c r="AA78" s="5"/>
      <c r="AB78" s="5"/>
    </row>
    <row r="79" ht="15.75" customHeight="1">
      <c r="A79" s="21">
        <v>222.0</v>
      </c>
      <c r="B79" s="21" t="s">
        <v>49</v>
      </c>
      <c r="C79" s="21" t="s">
        <v>41</v>
      </c>
      <c r="D79" s="21" t="s">
        <v>42</v>
      </c>
      <c r="E79" s="17" t="s">
        <v>30</v>
      </c>
      <c r="F79" s="17" t="s">
        <v>30</v>
      </c>
      <c r="G79" s="17" t="s">
        <v>30</v>
      </c>
      <c r="H79" s="29">
        <f t="shared" si="17"/>
        <v>0</v>
      </c>
      <c r="I79" s="30">
        <f t="shared" si="18"/>
        <v>0</v>
      </c>
      <c r="J79" s="20" t="str">
        <f t="shared" si="11"/>
        <v>XXX</v>
      </c>
      <c r="K79" s="17" t="s">
        <v>30</v>
      </c>
      <c r="L79" s="22" t="s">
        <v>29</v>
      </c>
      <c r="M79" s="22" t="s">
        <v>29</v>
      </c>
      <c r="N79" s="18">
        <f t="shared" si="12"/>
        <v>1</v>
      </c>
      <c r="O79" s="30">
        <f t="shared" si="19"/>
        <v>0.3333333333</v>
      </c>
      <c r="P79" s="20">
        <f t="shared" si="14"/>
        <v>0.5</v>
      </c>
      <c r="Q79" s="31" t="s">
        <v>29</v>
      </c>
      <c r="R79" s="31" t="s">
        <v>29</v>
      </c>
      <c r="S79" s="31" t="s">
        <v>33</v>
      </c>
      <c r="T79" s="29">
        <f t="shared" si="20"/>
        <v>2</v>
      </c>
      <c r="U79" s="30">
        <f t="shared" si="21"/>
        <v>0.6666666667</v>
      </c>
      <c r="V79" s="32" t="s">
        <v>31</v>
      </c>
      <c r="W79" s="32" t="s">
        <v>29</v>
      </c>
      <c r="X79" s="32" t="s">
        <v>33</v>
      </c>
      <c r="Y79" s="24">
        <v>46132.0</v>
      </c>
      <c r="Z79" s="5"/>
      <c r="AA79" s="5"/>
      <c r="AB79" s="5"/>
    </row>
    <row r="80" ht="15.75" customHeight="1">
      <c r="A80" s="21">
        <v>223.0</v>
      </c>
      <c r="B80" s="21" t="s">
        <v>49</v>
      </c>
      <c r="C80" s="21" t="s">
        <v>41</v>
      </c>
      <c r="D80" s="21" t="s">
        <v>42</v>
      </c>
      <c r="E80" s="17" t="s">
        <v>30</v>
      </c>
      <c r="F80" s="17" t="s">
        <v>30</v>
      </c>
      <c r="G80" s="17" t="s">
        <v>30</v>
      </c>
      <c r="H80" s="29">
        <f t="shared" si="17"/>
        <v>0</v>
      </c>
      <c r="I80" s="30">
        <f t="shared" si="18"/>
        <v>0</v>
      </c>
      <c r="J80" s="20" t="str">
        <f t="shared" si="11"/>
        <v>XXX</v>
      </c>
      <c r="K80" s="16" t="s">
        <v>31</v>
      </c>
      <c r="L80" s="16" t="s">
        <v>33</v>
      </c>
      <c r="M80" s="16" t="s">
        <v>29</v>
      </c>
      <c r="N80" s="18">
        <f t="shared" si="12"/>
        <v>1</v>
      </c>
      <c r="O80" s="30">
        <f t="shared" si="19"/>
        <v>0.3333333333</v>
      </c>
      <c r="P80" s="20">
        <f t="shared" si="14"/>
        <v>0.3333333333</v>
      </c>
      <c r="Q80" s="31" t="s">
        <v>29</v>
      </c>
      <c r="R80" s="31" t="s">
        <v>33</v>
      </c>
      <c r="S80" s="31" t="s">
        <v>28</v>
      </c>
      <c r="T80" s="29">
        <f t="shared" si="20"/>
        <v>3</v>
      </c>
      <c r="U80" s="30">
        <f t="shared" si="21"/>
        <v>1</v>
      </c>
      <c r="V80" s="32" t="s">
        <v>29</v>
      </c>
      <c r="W80" s="32" t="s">
        <v>33</v>
      </c>
      <c r="X80" s="32" t="s">
        <v>28</v>
      </c>
      <c r="Y80" s="24">
        <v>46132.0</v>
      </c>
      <c r="Z80" s="5"/>
      <c r="AA80" s="5"/>
      <c r="AB80" s="5"/>
    </row>
    <row r="81" ht="15.75" customHeight="1">
      <c r="A81" s="21">
        <v>231.0</v>
      </c>
      <c r="B81" s="21" t="s">
        <v>49</v>
      </c>
      <c r="C81" s="21" t="s">
        <v>41</v>
      </c>
      <c r="D81" s="21" t="s">
        <v>43</v>
      </c>
      <c r="E81" s="17" t="s">
        <v>30</v>
      </c>
      <c r="F81" s="17" t="s">
        <v>30</v>
      </c>
      <c r="G81" s="17" t="s">
        <v>30</v>
      </c>
      <c r="H81" s="29">
        <f t="shared" si="17"/>
        <v>0</v>
      </c>
      <c r="I81" s="30">
        <f t="shared" si="18"/>
        <v>0</v>
      </c>
      <c r="J81" s="20" t="str">
        <f t="shared" si="11"/>
        <v>XXX</v>
      </c>
      <c r="K81" s="17" t="s">
        <v>30</v>
      </c>
      <c r="L81" s="17" t="s">
        <v>30</v>
      </c>
      <c r="M81" s="22" t="s">
        <v>29</v>
      </c>
      <c r="N81" s="18">
        <f t="shared" si="12"/>
        <v>1</v>
      </c>
      <c r="O81" s="30">
        <f t="shared" si="19"/>
        <v>0.3333333333</v>
      </c>
      <c r="P81" s="20">
        <f t="shared" si="14"/>
        <v>1</v>
      </c>
      <c r="Q81" s="31" t="s">
        <v>31</v>
      </c>
      <c r="R81" s="31" t="s">
        <v>28</v>
      </c>
      <c r="S81" s="31" t="s">
        <v>29</v>
      </c>
      <c r="T81" s="29">
        <f t="shared" si="20"/>
        <v>3</v>
      </c>
      <c r="U81" s="30">
        <f t="shared" si="21"/>
        <v>1</v>
      </c>
      <c r="V81" s="32" t="s">
        <v>31</v>
      </c>
      <c r="W81" s="32" t="s">
        <v>28</v>
      </c>
      <c r="X81" s="32" t="s">
        <v>29</v>
      </c>
      <c r="Y81" s="24">
        <v>46132.0</v>
      </c>
      <c r="Z81" s="5"/>
      <c r="AA81" s="5"/>
      <c r="AB81" s="5"/>
    </row>
    <row r="82" ht="15.75" customHeight="1">
      <c r="A82" s="21">
        <v>232.0</v>
      </c>
      <c r="B82" s="21" t="s">
        <v>49</v>
      </c>
      <c r="C82" s="21" t="s">
        <v>41</v>
      </c>
      <c r="D82" s="21" t="s">
        <v>43</v>
      </c>
      <c r="E82" s="17" t="s">
        <v>30</v>
      </c>
      <c r="F82" s="17" t="s">
        <v>30</v>
      </c>
      <c r="G82" s="17" t="s">
        <v>30</v>
      </c>
      <c r="H82" s="29">
        <f t="shared" si="17"/>
        <v>0</v>
      </c>
      <c r="I82" s="30">
        <f t="shared" si="18"/>
        <v>0</v>
      </c>
      <c r="J82" s="20" t="str">
        <f t="shared" si="11"/>
        <v>XXX</v>
      </c>
      <c r="K82" s="16" t="s">
        <v>28</v>
      </c>
      <c r="L82" s="16" t="s">
        <v>28</v>
      </c>
      <c r="M82" s="16" t="s">
        <v>31</v>
      </c>
      <c r="N82" s="18">
        <f t="shared" si="12"/>
        <v>0</v>
      </c>
      <c r="O82" s="30">
        <f t="shared" si="19"/>
        <v>0</v>
      </c>
      <c r="P82" s="20">
        <f t="shared" si="14"/>
        <v>0</v>
      </c>
      <c r="Q82" s="31" t="s">
        <v>33</v>
      </c>
      <c r="R82" s="31" t="s">
        <v>31</v>
      </c>
      <c r="S82" s="31" t="s">
        <v>28</v>
      </c>
      <c r="T82" s="29">
        <f t="shared" si="20"/>
        <v>2</v>
      </c>
      <c r="U82" s="30">
        <f t="shared" si="21"/>
        <v>0.6666666667</v>
      </c>
      <c r="V82" s="32" t="s">
        <v>33</v>
      </c>
      <c r="W82" s="32" t="s">
        <v>33</v>
      </c>
      <c r="X82" s="32" t="s">
        <v>28</v>
      </c>
      <c r="Y82" s="24">
        <v>46132.0</v>
      </c>
      <c r="Z82" s="5"/>
      <c r="AA82" s="5"/>
      <c r="AB82" s="5"/>
    </row>
    <row r="83" ht="15.75" customHeight="1">
      <c r="A83" s="21">
        <v>233.0</v>
      </c>
      <c r="B83" s="21" t="s">
        <v>49</v>
      </c>
      <c r="C83" s="21" t="s">
        <v>41</v>
      </c>
      <c r="D83" s="21" t="s">
        <v>43</v>
      </c>
      <c r="E83" s="17" t="s">
        <v>30</v>
      </c>
      <c r="F83" s="17" t="s">
        <v>30</v>
      </c>
      <c r="G83" s="17" t="s">
        <v>30</v>
      </c>
      <c r="H83" s="29">
        <f t="shared" si="17"/>
        <v>0</v>
      </c>
      <c r="I83" s="30">
        <f t="shared" si="18"/>
        <v>0</v>
      </c>
      <c r="J83" s="20" t="str">
        <f t="shared" si="11"/>
        <v>XXX</v>
      </c>
      <c r="K83" s="17" t="s">
        <v>30</v>
      </c>
      <c r="L83" s="17" t="s">
        <v>30</v>
      </c>
      <c r="M83" s="22" t="s">
        <v>28</v>
      </c>
      <c r="N83" s="18">
        <f t="shared" si="12"/>
        <v>0</v>
      </c>
      <c r="O83" s="30">
        <f t="shared" si="19"/>
        <v>0</v>
      </c>
      <c r="P83" s="20">
        <f t="shared" si="14"/>
        <v>0</v>
      </c>
      <c r="Q83" s="31" t="s">
        <v>33</v>
      </c>
      <c r="R83" s="31" t="s">
        <v>31</v>
      </c>
      <c r="S83" s="31" t="s">
        <v>31</v>
      </c>
      <c r="T83" s="29">
        <f t="shared" si="20"/>
        <v>2</v>
      </c>
      <c r="U83" s="30">
        <f t="shared" si="21"/>
        <v>0.6666666667</v>
      </c>
      <c r="V83" s="32" t="s">
        <v>29</v>
      </c>
      <c r="W83" s="32" t="s">
        <v>31</v>
      </c>
      <c r="X83" s="32" t="s">
        <v>31</v>
      </c>
      <c r="Y83" s="24">
        <v>46132.0</v>
      </c>
      <c r="Z83" s="5"/>
      <c r="AA83" s="5"/>
      <c r="AB83" s="5"/>
    </row>
    <row r="84" ht="15.75" customHeight="1">
      <c r="A84" s="21">
        <v>251.0</v>
      </c>
      <c r="B84" s="21" t="s">
        <v>49</v>
      </c>
      <c r="C84" s="21" t="s">
        <v>41</v>
      </c>
      <c r="D84" s="21" t="s">
        <v>44</v>
      </c>
      <c r="E84" s="17" t="s">
        <v>30</v>
      </c>
      <c r="F84" s="17" t="s">
        <v>30</v>
      </c>
      <c r="G84" s="17" t="s">
        <v>30</v>
      </c>
      <c r="H84" s="29">
        <f t="shared" si="17"/>
        <v>0</v>
      </c>
      <c r="I84" s="30">
        <f t="shared" si="18"/>
        <v>0</v>
      </c>
      <c r="J84" s="20" t="str">
        <f t="shared" si="11"/>
        <v>XXX</v>
      </c>
      <c r="K84" s="16" t="s">
        <v>28</v>
      </c>
      <c r="L84" s="16" t="s">
        <v>33</v>
      </c>
      <c r="M84" s="16" t="s">
        <v>33</v>
      </c>
      <c r="N84" s="18">
        <f t="shared" si="12"/>
        <v>0</v>
      </c>
      <c r="O84" s="30">
        <f t="shared" si="19"/>
        <v>0</v>
      </c>
      <c r="P84" s="20">
        <f t="shared" si="14"/>
        <v>0</v>
      </c>
      <c r="Q84" s="31" t="s">
        <v>33</v>
      </c>
      <c r="R84" s="31" t="s">
        <v>29</v>
      </c>
      <c r="S84" s="31" t="s">
        <v>33</v>
      </c>
      <c r="T84" s="29">
        <f t="shared" si="20"/>
        <v>1</v>
      </c>
      <c r="U84" s="30">
        <f t="shared" si="21"/>
        <v>0.3333333333</v>
      </c>
      <c r="V84" s="32" t="s">
        <v>33</v>
      </c>
      <c r="W84" s="32" t="s">
        <v>28</v>
      </c>
      <c r="X84" s="32" t="s">
        <v>31</v>
      </c>
      <c r="Y84" s="24">
        <v>46132.0</v>
      </c>
      <c r="Z84" s="5"/>
      <c r="AA84" s="5"/>
      <c r="AB84" s="5"/>
    </row>
    <row r="85" ht="15.75" customHeight="1">
      <c r="A85" s="21">
        <v>252.0</v>
      </c>
      <c r="B85" s="21" t="s">
        <v>49</v>
      </c>
      <c r="C85" s="21" t="s">
        <v>41</v>
      </c>
      <c r="D85" s="21" t="s">
        <v>44</v>
      </c>
      <c r="E85" s="17" t="s">
        <v>30</v>
      </c>
      <c r="F85" s="17" t="s">
        <v>30</v>
      </c>
      <c r="G85" s="17" t="s">
        <v>30</v>
      </c>
      <c r="H85" s="29">
        <f t="shared" si="17"/>
        <v>0</v>
      </c>
      <c r="I85" s="30">
        <f t="shared" si="18"/>
        <v>0</v>
      </c>
      <c r="J85" s="20" t="str">
        <f t="shared" si="11"/>
        <v>XXX</v>
      </c>
      <c r="K85" s="22" t="s">
        <v>29</v>
      </c>
      <c r="L85" s="22" t="s">
        <v>28</v>
      </c>
      <c r="M85" s="22" t="s">
        <v>29</v>
      </c>
      <c r="N85" s="18">
        <f t="shared" si="12"/>
        <v>1</v>
      </c>
      <c r="O85" s="30">
        <f t="shared" si="19"/>
        <v>0.3333333333</v>
      </c>
      <c r="P85" s="20">
        <f t="shared" si="14"/>
        <v>0.3333333333</v>
      </c>
      <c r="Q85" s="31" t="s">
        <v>29</v>
      </c>
      <c r="R85" s="31" t="s">
        <v>33</v>
      </c>
      <c r="S85" s="31" t="s">
        <v>33</v>
      </c>
      <c r="T85" s="29">
        <f t="shared" si="20"/>
        <v>2</v>
      </c>
      <c r="U85" s="30">
        <f t="shared" si="21"/>
        <v>0.6666666667</v>
      </c>
      <c r="V85" s="32" t="s">
        <v>29</v>
      </c>
      <c r="W85" s="32" t="s">
        <v>33</v>
      </c>
      <c r="X85" s="32" t="s">
        <v>28</v>
      </c>
      <c r="Y85" s="24">
        <v>46132.0</v>
      </c>
      <c r="Z85" s="5"/>
      <c r="AA85" s="5"/>
      <c r="AB85" s="5"/>
    </row>
    <row r="86" ht="15.75" customHeight="1">
      <c r="A86" s="21">
        <v>253.0</v>
      </c>
      <c r="B86" s="21" t="s">
        <v>49</v>
      </c>
      <c r="C86" s="21" t="s">
        <v>41</v>
      </c>
      <c r="D86" s="21" t="s">
        <v>44</v>
      </c>
      <c r="E86" s="16" t="s">
        <v>31</v>
      </c>
      <c r="F86" s="17" t="s">
        <v>30</v>
      </c>
      <c r="G86" s="17" t="s">
        <v>30</v>
      </c>
      <c r="H86" s="29">
        <f t="shared" si="17"/>
        <v>1</v>
      </c>
      <c r="I86" s="30">
        <f t="shared" si="18"/>
        <v>0.3333333333</v>
      </c>
      <c r="J86" s="20">
        <f t="shared" si="11"/>
        <v>1</v>
      </c>
      <c r="K86" s="16" t="s">
        <v>31</v>
      </c>
      <c r="L86" s="16" t="s">
        <v>28</v>
      </c>
      <c r="M86" s="16" t="s">
        <v>31</v>
      </c>
      <c r="N86" s="18">
        <f t="shared" si="12"/>
        <v>2</v>
      </c>
      <c r="O86" s="30">
        <f t="shared" si="19"/>
        <v>0.6666666667</v>
      </c>
      <c r="P86" s="20">
        <f t="shared" si="14"/>
        <v>0.6666666667</v>
      </c>
      <c r="Q86" s="31" t="s">
        <v>31</v>
      </c>
      <c r="R86" s="31" t="s">
        <v>28</v>
      </c>
      <c r="S86" s="31" t="s">
        <v>33</v>
      </c>
      <c r="T86" s="29">
        <f t="shared" si="20"/>
        <v>3</v>
      </c>
      <c r="U86" s="30">
        <f t="shared" si="21"/>
        <v>1</v>
      </c>
      <c r="V86" s="32" t="s">
        <v>31</v>
      </c>
      <c r="W86" s="32" t="s">
        <v>28</v>
      </c>
      <c r="X86" s="32" t="s">
        <v>33</v>
      </c>
      <c r="Y86" s="24">
        <v>46132.0</v>
      </c>
      <c r="Z86" s="5"/>
      <c r="AA86" s="5"/>
      <c r="AB86" s="5"/>
    </row>
    <row r="87" ht="15.75" customHeight="1">
      <c r="A87" s="21">
        <v>261.0</v>
      </c>
      <c r="B87" s="21" t="s">
        <v>49</v>
      </c>
      <c r="C87" s="21" t="s">
        <v>41</v>
      </c>
      <c r="D87" s="21" t="s">
        <v>45</v>
      </c>
      <c r="E87" s="17" t="s">
        <v>30</v>
      </c>
      <c r="F87" s="17" t="s">
        <v>30</v>
      </c>
      <c r="G87" s="17" t="s">
        <v>30</v>
      </c>
      <c r="H87" s="29">
        <f t="shared" si="17"/>
        <v>0</v>
      </c>
      <c r="I87" s="30">
        <f t="shared" si="18"/>
        <v>0</v>
      </c>
      <c r="J87" s="20" t="str">
        <f t="shared" si="11"/>
        <v>XXX</v>
      </c>
      <c r="K87" s="22" t="s">
        <v>28</v>
      </c>
      <c r="L87" s="17" t="s">
        <v>30</v>
      </c>
      <c r="M87" s="22" t="s">
        <v>31</v>
      </c>
      <c r="N87" s="18">
        <f t="shared" si="12"/>
        <v>1</v>
      </c>
      <c r="O87" s="30">
        <f t="shared" si="19"/>
        <v>0.3333333333</v>
      </c>
      <c r="P87" s="20">
        <f t="shared" si="14"/>
        <v>0.5</v>
      </c>
      <c r="Q87" s="31" t="s">
        <v>33</v>
      </c>
      <c r="R87" s="31" t="s">
        <v>29</v>
      </c>
      <c r="S87" s="31" t="s">
        <v>31</v>
      </c>
      <c r="T87" s="29">
        <f t="shared" si="20"/>
        <v>2</v>
      </c>
      <c r="U87" s="30">
        <f t="shared" si="21"/>
        <v>0.6666666667</v>
      </c>
      <c r="V87" s="32" t="s">
        <v>33</v>
      </c>
      <c r="W87" s="32" t="s">
        <v>28</v>
      </c>
      <c r="X87" s="32" t="s">
        <v>31</v>
      </c>
      <c r="Y87" s="24">
        <v>46132.0</v>
      </c>
      <c r="Z87" s="5"/>
      <c r="AA87" s="5"/>
      <c r="AB87" s="5"/>
    </row>
    <row r="88" ht="15.75" customHeight="1">
      <c r="A88" s="21">
        <v>262.0</v>
      </c>
      <c r="B88" s="21" t="s">
        <v>49</v>
      </c>
      <c r="C88" s="21" t="s">
        <v>41</v>
      </c>
      <c r="D88" s="21" t="s">
        <v>45</v>
      </c>
      <c r="E88" s="17" t="s">
        <v>30</v>
      </c>
      <c r="F88" s="17" t="s">
        <v>30</v>
      </c>
      <c r="G88" s="17" t="s">
        <v>30</v>
      </c>
      <c r="H88" s="29">
        <f t="shared" si="17"/>
        <v>0</v>
      </c>
      <c r="I88" s="30">
        <f t="shared" si="18"/>
        <v>0</v>
      </c>
      <c r="J88" s="20" t="str">
        <f t="shared" si="11"/>
        <v>XXX</v>
      </c>
      <c r="K88" s="16" t="s">
        <v>28</v>
      </c>
      <c r="L88" s="16" t="s">
        <v>33</v>
      </c>
      <c r="M88" s="17" t="s">
        <v>30</v>
      </c>
      <c r="N88" s="18">
        <f t="shared" si="12"/>
        <v>0</v>
      </c>
      <c r="O88" s="30">
        <f t="shared" si="19"/>
        <v>0</v>
      </c>
      <c r="P88" s="20">
        <f t="shared" si="14"/>
        <v>0</v>
      </c>
      <c r="Q88" s="31" t="s">
        <v>33</v>
      </c>
      <c r="R88" s="31" t="s">
        <v>33</v>
      </c>
      <c r="S88" s="31" t="s">
        <v>33</v>
      </c>
      <c r="T88" s="29">
        <f t="shared" si="20"/>
        <v>1</v>
      </c>
      <c r="U88" s="30">
        <f t="shared" si="21"/>
        <v>0.3333333333</v>
      </c>
      <c r="V88" s="32" t="s">
        <v>29</v>
      </c>
      <c r="W88" s="32" t="s">
        <v>31</v>
      </c>
      <c r="X88" s="32" t="s">
        <v>33</v>
      </c>
      <c r="Y88" s="24">
        <v>46132.0</v>
      </c>
      <c r="Z88" s="5"/>
      <c r="AA88" s="5"/>
      <c r="AB88" s="5"/>
    </row>
    <row r="89" ht="15.75" customHeight="1">
      <c r="A89" s="21">
        <v>263.0</v>
      </c>
      <c r="B89" s="21" t="s">
        <v>49</v>
      </c>
      <c r="C89" s="21" t="s">
        <v>41</v>
      </c>
      <c r="D89" s="21" t="s">
        <v>45</v>
      </c>
      <c r="E89" s="17" t="s">
        <v>30</v>
      </c>
      <c r="F89" s="17" t="s">
        <v>30</v>
      </c>
      <c r="G89" s="17" t="s">
        <v>30</v>
      </c>
      <c r="H89" s="29">
        <f t="shared" si="17"/>
        <v>0</v>
      </c>
      <c r="I89" s="30">
        <f t="shared" si="18"/>
        <v>0</v>
      </c>
      <c r="J89" s="20" t="str">
        <f t="shared" si="11"/>
        <v>XXX</v>
      </c>
      <c r="K89" s="22" t="s">
        <v>33</v>
      </c>
      <c r="L89" s="22" t="s">
        <v>33</v>
      </c>
      <c r="M89" s="22" t="s">
        <v>33</v>
      </c>
      <c r="N89" s="18">
        <f t="shared" si="12"/>
        <v>1</v>
      </c>
      <c r="O89" s="30">
        <f t="shared" si="19"/>
        <v>0.3333333333</v>
      </c>
      <c r="P89" s="20">
        <f t="shared" si="14"/>
        <v>0.3333333333</v>
      </c>
      <c r="Q89" s="31" t="s">
        <v>33</v>
      </c>
      <c r="R89" s="31" t="s">
        <v>33</v>
      </c>
      <c r="S89" s="31" t="s">
        <v>33</v>
      </c>
      <c r="T89" s="29">
        <f t="shared" si="20"/>
        <v>1</v>
      </c>
      <c r="U89" s="30">
        <f t="shared" si="21"/>
        <v>0.3333333333</v>
      </c>
      <c r="V89" s="32" t="s">
        <v>28</v>
      </c>
      <c r="W89" s="32" t="s">
        <v>33</v>
      </c>
      <c r="X89" s="32" t="s">
        <v>29</v>
      </c>
      <c r="Y89" s="24">
        <v>46132.0</v>
      </c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7"/>
      <c r="L90" s="37"/>
      <c r="M90" s="3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7"/>
      <c r="L91" s="37"/>
      <c r="M91" s="3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7"/>
      <c r="L92" s="37"/>
      <c r="M92" s="3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7"/>
      <c r="L93" s="37"/>
      <c r="M93" s="3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7"/>
      <c r="L94" s="37"/>
      <c r="M94" s="3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7"/>
      <c r="L95" s="37"/>
      <c r="M95" s="3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7"/>
      <c r="L96" s="37"/>
      <c r="M96" s="3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7"/>
      <c r="L97" s="37"/>
      <c r="M97" s="3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7"/>
      <c r="L98" s="37"/>
      <c r="M98" s="3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7"/>
      <c r="L99" s="37"/>
      <c r="M99" s="3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7"/>
      <c r="L100" s="37"/>
      <c r="M100" s="3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7"/>
      <c r="L101" s="37"/>
      <c r="M101" s="3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7"/>
      <c r="L102" s="37"/>
      <c r="M102" s="3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7"/>
      <c r="L103" s="37"/>
      <c r="M103" s="3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7"/>
      <c r="L104" s="37"/>
      <c r="M104" s="3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7"/>
      <c r="L105" s="37"/>
      <c r="M105" s="3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7"/>
      <c r="L106" s="37"/>
      <c r="M106" s="3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7"/>
      <c r="L107" s="37"/>
      <c r="M107" s="3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7"/>
      <c r="L108" s="37"/>
      <c r="M108" s="3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7"/>
      <c r="L109" s="37"/>
      <c r="M109" s="3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7"/>
      <c r="L110" s="37"/>
      <c r="M110" s="3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7"/>
      <c r="L111" s="37"/>
      <c r="M111" s="3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7"/>
      <c r="L112" s="37"/>
      <c r="M112" s="3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7"/>
      <c r="L113" s="37"/>
      <c r="M113" s="3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7"/>
      <c r="L114" s="37"/>
      <c r="M114" s="3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7"/>
      <c r="L115" s="37"/>
      <c r="M115" s="3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7"/>
      <c r="L116" s="37"/>
      <c r="M116" s="3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7"/>
      <c r="L117" s="37"/>
      <c r="M117" s="3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7"/>
      <c r="L118" s="37"/>
      <c r="M118" s="3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7"/>
      <c r="L119" s="37"/>
      <c r="M119" s="3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7"/>
      <c r="L120" s="37"/>
      <c r="M120" s="3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7"/>
      <c r="L121" s="37"/>
      <c r="M121" s="3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7"/>
      <c r="L122" s="37"/>
      <c r="M122" s="3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7"/>
      <c r="L123" s="37"/>
      <c r="M123" s="3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7"/>
      <c r="L124" s="37"/>
      <c r="M124" s="3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7"/>
      <c r="L125" s="37"/>
      <c r="M125" s="3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7"/>
      <c r="L126" s="37"/>
      <c r="M126" s="3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7"/>
      <c r="L127" s="37"/>
      <c r="M127" s="3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7"/>
      <c r="L128" s="37"/>
      <c r="M128" s="3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7"/>
      <c r="L129" s="37"/>
      <c r="M129" s="3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7"/>
      <c r="L133" s="37"/>
      <c r="M133" s="3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7"/>
      <c r="L134" s="37"/>
      <c r="M134" s="3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7"/>
      <c r="L135" s="37"/>
      <c r="M135" s="3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7"/>
      <c r="L136" s="37"/>
      <c r="M136" s="3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7"/>
      <c r="L140" s="37"/>
      <c r="M140" s="3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7"/>
      <c r="L141" s="37"/>
      <c r="M141" s="3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7"/>
      <c r="L142" s="37"/>
      <c r="M142" s="3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7"/>
      <c r="L145" s="37"/>
      <c r="M145" s="3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7"/>
      <c r="L146" s="37"/>
      <c r="M146" s="3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7"/>
      <c r="L147" s="37"/>
      <c r="M147" s="3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7"/>
      <c r="L150" s="37"/>
      <c r="M150" s="3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7"/>
      <c r="L151" s="37"/>
      <c r="M151" s="3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7"/>
      <c r="L152" s="37"/>
      <c r="M152" s="3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7"/>
      <c r="L153" s="37"/>
      <c r="M153" s="3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7"/>
      <c r="L154" s="37"/>
      <c r="M154" s="3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7"/>
      <c r="L155" s="37"/>
      <c r="M155" s="3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7"/>
      <c r="L156" s="37"/>
      <c r="M156" s="3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7"/>
      <c r="L157" s="37"/>
      <c r="M157" s="3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7"/>
      <c r="L158" s="37"/>
      <c r="M158" s="3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7"/>
      <c r="L159" s="37"/>
      <c r="M159" s="3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7"/>
      <c r="L160" s="37"/>
      <c r="M160" s="3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7"/>
      <c r="L161" s="37"/>
      <c r="M161" s="3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7"/>
      <c r="L162" s="37"/>
      <c r="M162" s="3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7"/>
      <c r="L163" s="37"/>
      <c r="M163" s="3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7"/>
      <c r="L164" s="37"/>
      <c r="M164" s="3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7"/>
      <c r="L165" s="37"/>
      <c r="M165" s="3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7"/>
      <c r="L166" s="37"/>
      <c r="M166" s="3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7"/>
      <c r="L167" s="37"/>
      <c r="M167" s="3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7"/>
      <c r="L168" s="37"/>
      <c r="M168" s="3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7"/>
      <c r="L169" s="37"/>
      <c r="M169" s="3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7"/>
      <c r="L170" s="37"/>
      <c r="M170" s="3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7"/>
      <c r="L171" s="37"/>
      <c r="M171" s="3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7"/>
      <c r="L172" s="37"/>
      <c r="M172" s="3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7"/>
      <c r="L173" s="37"/>
      <c r="M173" s="3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7"/>
      <c r="L174" s="37"/>
      <c r="M174" s="3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7"/>
      <c r="L175" s="37"/>
      <c r="M175" s="3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7"/>
      <c r="L176" s="37"/>
      <c r="M176" s="3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7"/>
      <c r="L177" s="37"/>
      <c r="M177" s="3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7"/>
      <c r="L178" s="37"/>
      <c r="M178" s="3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7"/>
      <c r="L179" s="37"/>
      <c r="M179" s="3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7"/>
      <c r="L180" s="37"/>
      <c r="M180" s="3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7"/>
      <c r="L181" s="37"/>
      <c r="M181" s="3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7"/>
      <c r="L182" s="37"/>
      <c r="M182" s="3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7"/>
      <c r="L183" s="37"/>
      <c r="M183" s="3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7"/>
      <c r="L184" s="37"/>
      <c r="M184" s="3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7"/>
      <c r="L185" s="37"/>
      <c r="M185" s="3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7"/>
      <c r="L186" s="37"/>
      <c r="M186" s="3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7"/>
      <c r="L187" s="37"/>
      <c r="M187" s="3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7"/>
      <c r="L188" s="37"/>
      <c r="M188" s="3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7"/>
      <c r="L189" s="37"/>
      <c r="M189" s="3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7"/>
      <c r="L190" s="37"/>
      <c r="M190" s="3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7"/>
      <c r="L191" s="37"/>
      <c r="M191" s="3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7"/>
      <c r="L192" s="37"/>
      <c r="M192" s="3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7"/>
      <c r="L193" s="37"/>
      <c r="M193" s="3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7"/>
      <c r="L194" s="37"/>
      <c r="M194" s="3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7"/>
      <c r="L195" s="37"/>
      <c r="M195" s="3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7"/>
      <c r="L196" s="37"/>
      <c r="M196" s="3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7"/>
      <c r="L197" s="37"/>
      <c r="M197" s="3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7"/>
      <c r="L198" s="37"/>
      <c r="M198" s="3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7"/>
      <c r="L199" s="37"/>
      <c r="M199" s="3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7"/>
      <c r="L200" s="37"/>
      <c r="M200" s="3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7"/>
      <c r="L201" s="37"/>
      <c r="M201" s="3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7"/>
      <c r="L202" s="37"/>
      <c r="M202" s="3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7"/>
      <c r="L203" s="37"/>
      <c r="M203" s="3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7"/>
      <c r="L204" s="37"/>
      <c r="M204" s="3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7"/>
      <c r="L205" s="37"/>
      <c r="M205" s="3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7"/>
      <c r="L206" s="37"/>
      <c r="M206" s="3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7"/>
      <c r="L207" s="37"/>
      <c r="M207" s="3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7"/>
      <c r="L208" s="37"/>
      <c r="M208" s="3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7"/>
      <c r="L209" s="37"/>
      <c r="M209" s="3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7"/>
      <c r="L210" s="37"/>
      <c r="M210" s="3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7"/>
      <c r="L211" s="37"/>
      <c r="M211" s="3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7"/>
      <c r="L212" s="37"/>
      <c r="M212" s="3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7"/>
      <c r="L213" s="37"/>
      <c r="M213" s="3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7"/>
      <c r="L214" s="37"/>
      <c r="M214" s="3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7"/>
      <c r="L215" s="37"/>
      <c r="M215" s="3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7"/>
      <c r="L216" s="37"/>
      <c r="M216" s="3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7"/>
      <c r="L217" s="37"/>
      <c r="M217" s="3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7"/>
      <c r="L218" s="37"/>
      <c r="M218" s="3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7"/>
      <c r="L219" s="37"/>
      <c r="M219" s="3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7"/>
      <c r="L220" s="37"/>
      <c r="M220" s="3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7"/>
      <c r="L221" s="37"/>
      <c r="M221" s="3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7"/>
      <c r="L222" s="37"/>
      <c r="M222" s="3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7"/>
      <c r="L223" s="37"/>
      <c r="M223" s="3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7"/>
      <c r="L224" s="37"/>
      <c r="M224" s="3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7"/>
      <c r="L225" s="37"/>
      <c r="M225" s="3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7"/>
      <c r="L226" s="37"/>
      <c r="M226" s="3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7"/>
      <c r="L227" s="37"/>
      <c r="M227" s="3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7"/>
      <c r="L228" s="37"/>
      <c r="M228" s="3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7"/>
      <c r="L229" s="37"/>
      <c r="M229" s="3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7"/>
      <c r="L230" s="37"/>
      <c r="M230" s="3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7"/>
      <c r="L231" s="37"/>
      <c r="M231" s="3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7"/>
      <c r="L232" s="37"/>
      <c r="M232" s="3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7"/>
      <c r="L233" s="37"/>
      <c r="M233" s="3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7"/>
      <c r="L234" s="37"/>
      <c r="M234" s="3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7"/>
      <c r="L235" s="37"/>
      <c r="M235" s="3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7"/>
      <c r="L236" s="37"/>
      <c r="M236" s="3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7"/>
      <c r="L237" s="37"/>
      <c r="M237" s="3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7"/>
      <c r="L238" s="37"/>
      <c r="M238" s="3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7"/>
      <c r="L239" s="37"/>
      <c r="M239" s="3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7"/>
      <c r="L240" s="37"/>
      <c r="M240" s="3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7"/>
      <c r="L241" s="37"/>
      <c r="M241" s="3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7"/>
      <c r="L242" s="37"/>
      <c r="M242" s="3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7"/>
      <c r="L243" s="37"/>
      <c r="M243" s="3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7"/>
      <c r="L244" s="37"/>
      <c r="M244" s="3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7"/>
      <c r="L245" s="37"/>
      <c r="M245" s="3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7"/>
      <c r="L246" s="37"/>
      <c r="M246" s="3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7"/>
      <c r="L247" s="37"/>
      <c r="M247" s="3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7"/>
      <c r="L248" s="37"/>
      <c r="M248" s="3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7"/>
      <c r="L249" s="37"/>
      <c r="M249" s="3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7"/>
      <c r="L250" s="37"/>
      <c r="M250" s="3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7"/>
      <c r="L251" s="37"/>
      <c r="M251" s="3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7"/>
      <c r="L252" s="37"/>
      <c r="M252" s="3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7"/>
      <c r="L253" s="37"/>
      <c r="M253" s="3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7"/>
      <c r="L254" s="37"/>
      <c r="M254" s="3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7"/>
      <c r="L255" s="37"/>
      <c r="M255" s="3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7"/>
      <c r="L256" s="37"/>
      <c r="M256" s="3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7"/>
      <c r="L257" s="37"/>
      <c r="M257" s="3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7"/>
      <c r="L258" s="37"/>
      <c r="M258" s="3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7"/>
      <c r="L259" s="37"/>
      <c r="M259" s="3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7"/>
      <c r="L260" s="37"/>
      <c r="M260" s="3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7"/>
      <c r="L261" s="37"/>
      <c r="M261" s="3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7"/>
      <c r="L262" s="37"/>
      <c r="M262" s="3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7"/>
      <c r="L263" s="37"/>
      <c r="M263" s="3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7"/>
      <c r="L264" s="37"/>
      <c r="M264" s="3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7"/>
      <c r="L265" s="37"/>
      <c r="M265" s="3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7"/>
      <c r="L266" s="37"/>
      <c r="M266" s="3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7"/>
      <c r="L267" s="37"/>
      <c r="M267" s="3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7"/>
      <c r="L268" s="37"/>
      <c r="M268" s="3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7"/>
      <c r="L269" s="37"/>
      <c r="M269" s="3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7"/>
      <c r="L270" s="37"/>
      <c r="M270" s="3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7"/>
      <c r="L271" s="37"/>
      <c r="M271" s="3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7"/>
      <c r="L272" s="37"/>
      <c r="M272" s="3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7"/>
      <c r="L273" s="37"/>
      <c r="M273" s="3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7"/>
      <c r="L274" s="37"/>
      <c r="M274" s="3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7"/>
      <c r="L275" s="37"/>
      <c r="M275" s="3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7"/>
      <c r="L276" s="37"/>
      <c r="M276" s="3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7"/>
      <c r="L277" s="37"/>
      <c r="M277" s="3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7"/>
      <c r="L278" s="37"/>
      <c r="M278" s="3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7"/>
      <c r="L279" s="37"/>
      <c r="M279" s="3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7"/>
      <c r="L280" s="37"/>
      <c r="M280" s="3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7"/>
      <c r="L281" s="37"/>
      <c r="M281" s="3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7"/>
      <c r="L282" s="37"/>
      <c r="M282" s="3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7"/>
      <c r="L283" s="37"/>
      <c r="M283" s="3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7"/>
      <c r="L284" s="37"/>
      <c r="M284" s="3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7"/>
      <c r="L285" s="37"/>
      <c r="M285" s="3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7"/>
      <c r="L286" s="37"/>
      <c r="M286" s="3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7"/>
      <c r="L287" s="37"/>
      <c r="M287" s="3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7"/>
      <c r="L288" s="37"/>
      <c r="M288" s="3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7"/>
      <c r="L289" s="37"/>
      <c r="M289" s="3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7"/>
      <c r="L290" s="37"/>
      <c r="M290" s="3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7"/>
      <c r="L291" s="37"/>
      <c r="M291" s="3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7"/>
      <c r="L292" s="37"/>
      <c r="M292" s="3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7"/>
      <c r="L293" s="37"/>
      <c r="M293" s="3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7"/>
      <c r="L294" s="37"/>
      <c r="M294" s="3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7"/>
      <c r="L295" s="37"/>
      <c r="M295" s="3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7"/>
      <c r="L296" s="37"/>
      <c r="M296" s="3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7"/>
      <c r="L297" s="37"/>
      <c r="M297" s="3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7"/>
      <c r="L298" s="37"/>
      <c r="M298" s="3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7"/>
      <c r="L299" s="37"/>
      <c r="M299" s="3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7"/>
      <c r="L300" s="37"/>
      <c r="M300" s="3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7"/>
      <c r="L301" s="37"/>
      <c r="M301" s="3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7"/>
      <c r="L302" s="37"/>
      <c r="M302" s="3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7"/>
      <c r="L303" s="37"/>
      <c r="M303" s="3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7"/>
      <c r="L304" s="37"/>
      <c r="M304" s="3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7"/>
      <c r="L305" s="37"/>
      <c r="M305" s="3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7"/>
      <c r="L306" s="37"/>
      <c r="M306" s="3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7"/>
      <c r="L307" s="37"/>
      <c r="M307" s="3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7"/>
      <c r="L308" s="37"/>
      <c r="M308" s="3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7"/>
      <c r="L309" s="37"/>
      <c r="M309" s="3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7"/>
      <c r="L310" s="37"/>
      <c r="M310" s="3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7"/>
      <c r="L311" s="37"/>
      <c r="M311" s="3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7"/>
      <c r="L312" s="37"/>
      <c r="M312" s="3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7"/>
      <c r="L313" s="37"/>
      <c r="M313" s="3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7"/>
      <c r="L314" s="37"/>
      <c r="M314" s="3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7"/>
      <c r="L315" s="37"/>
      <c r="M315" s="3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7"/>
      <c r="L316" s="37"/>
      <c r="M316" s="3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7"/>
      <c r="L317" s="37"/>
      <c r="M317" s="3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7"/>
      <c r="L318" s="37"/>
      <c r="M318" s="3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7"/>
      <c r="L319" s="37"/>
      <c r="M319" s="3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7"/>
      <c r="L320" s="37"/>
      <c r="M320" s="3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7"/>
      <c r="L321" s="37"/>
      <c r="M321" s="3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7"/>
      <c r="L322" s="37"/>
      <c r="M322" s="3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7"/>
      <c r="L323" s="37"/>
      <c r="M323" s="3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7"/>
      <c r="L324" s="37"/>
      <c r="M324" s="3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7"/>
      <c r="L325" s="37"/>
      <c r="M325" s="3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7"/>
      <c r="L326" s="37"/>
      <c r="M326" s="3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7"/>
      <c r="L327" s="37"/>
      <c r="M327" s="3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7"/>
      <c r="L328" s="37"/>
      <c r="M328" s="3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7"/>
      <c r="L329" s="37"/>
      <c r="M329" s="3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7"/>
      <c r="L330" s="37"/>
      <c r="M330" s="3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7"/>
      <c r="L331" s="37"/>
      <c r="M331" s="3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7"/>
      <c r="L332" s="37"/>
      <c r="M332" s="3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7"/>
      <c r="L333" s="37"/>
      <c r="M333" s="3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7"/>
      <c r="L334" s="37"/>
      <c r="M334" s="3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7"/>
      <c r="L335" s="37"/>
      <c r="M335" s="3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7"/>
      <c r="L336" s="37"/>
      <c r="M336" s="3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7"/>
      <c r="L337" s="37"/>
      <c r="M337" s="3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7"/>
      <c r="L338" s="37"/>
      <c r="M338" s="3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7"/>
      <c r="L339" s="37"/>
      <c r="M339" s="3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7"/>
      <c r="L340" s="37"/>
      <c r="M340" s="3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7"/>
      <c r="L341" s="37"/>
      <c r="M341" s="3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7"/>
      <c r="L342" s="37"/>
      <c r="M342" s="3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7"/>
      <c r="L343" s="37"/>
      <c r="M343" s="3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7"/>
      <c r="L344" s="37"/>
      <c r="M344" s="3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7"/>
      <c r="L345" s="37"/>
      <c r="M345" s="3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7"/>
      <c r="L346" s="37"/>
      <c r="M346" s="3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7"/>
      <c r="L347" s="37"/>
      <c r="M347" s="3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7"/>
      <c r="L348" s="37"/>
      <c r="M348" s="3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7"/>
      <c r="L349" s="37"/>
      <c r="M349" s="3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7"/>
      <c r="L350" s="37"/>
      <c r="M350" s="3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7"/>
      <c r="L351" s="37"/>
      <c r="M351" s="3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7"/>
      <c r="L352" s="37"/>
      <c r="M352" s="3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7"/>
      <c r="L353" s="37"/>
      <c r="M353" s="3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7"/>
      <c r="L354" s="37"/>
      <c r="M354" s="3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7"/>
      <c r="L355" s="37"/>
      <c r="M355" s="3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7"/>
      <c r="L356" s="37"/>
      <c r="M356" s="3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7"/>
      <c r="L357" s="37"/>
      <c r="M357" s="3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7"/>
      <c r="L358" s="37"/>
      <c r="M358" s="3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7"/>
      <c r="L359" s="37"/>
      <c r="M359" s="3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7"/>
      <c r="L360" s="37"/>
      <c r="M360" s="3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7"/>
      <c r="L361" s="37"/>
      <c r="M361" s="3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7"/>
      <c r="L362" s="37"/>
      <c r="M362" s="3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7"/>
      <c r="L363" s="37"/>
      <c r="M363" s="3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7"/>
      <c r="L364" s="37"/>
      <c r="M364" s="3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7"/>
      <c r="L365" s="37"/>
      <c r="M365" s="3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7"/>
      <c r="L366" s="37"/>
      <c r="M366" s="3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7"/>
      <c r="L367" s="37"/>
      <c r="M367" s="3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7"/>
      <c r="L368" s="37"/>
      <c r="M368" s="3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7"/>
      <c r="L369" s="37"/>
      <c r="M369" s="3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7"/>
      <c r="L370" s="37"/>
      <c r="M370" s="3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7"/>
      <c r="L371" s="37"/>
      <c r="M371" s="3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7"/>
      <c r="L372" s="37"/>
      <c r="M372" s="3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7"/>
      <c r="L373" s="37"/>
      <c r="M373" s="3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7"/>
      <c r="L374" s="37"/>
      <c r="M374" s="3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7"/>
      <c r="L375" s="37"/>
      <c r="M375" s="3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7"/>
      <c r="L376" s="37"/>
      <c r="M376" s="3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7"/>
      <c r="L377" s="37"/>
      <c r="M377" s="3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7"/>
      <c r="L378" s="37"/>
      <c r="M378" s="3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7"/>
      <c r="L379" s="37"/>
      <c r="M379" s="3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7"/>
      <c r="L380" s="37"/>
      <c r="M380" s="3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7"/>
      <c r="L381" s="37"/>
      <c r="M381" s="3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7"/>
      <c r="L382" s="37"/>
      <c r="M382" s="3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7"/>
      <c r="L383" s="37"/>
      <c r="M383" s="3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7"/>
      <c r="L384" s="37"/>
      <c r="M384" s="3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7"/>
      <c r="L385" s="37"/>
      <c r="M385" s="3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7"/>
      <c r="L386" s="37"/>
      <c r="M386" s="3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7"/>
      <c r="L387" s="37"/>
      <c r="M387" s="3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7"/>
      <c r="L388" s="37"/>
      <c r="M388" s="3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7"/>
      <c r="L389" s="37"/>
      <c r="M389" s="3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7"/>
      <c r="L390" s="37"/>
      <c r="M390" s="3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7"/>
      <c r="L391" s="37"/>
      <c r="M391" s="3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7"/>
      <c r="L392" s="37"/>
      <c r="M392" s="3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7"/>
      <c r="L393" s="37"/>
      <c r="M393" s="3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7"/>
      <c r="L394" s="37"/>
      <c r="M394" s="3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7"/>
      <c r="L395" s="37"/>
      <c r="M395" s="3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7"/>
      <c r="L396" s="37"/>
      <c r="M396" s="3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7"/>
      <c r="L397" s="37"/>
      <c r="M397" s="3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7"/>
      <c r="L398" s="37"/>
      <c r="M398" s="3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7"/>
      <c r="L399" s="37"/>
      <c r="M399" s="3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7"/>
      <c r="L400" s="37"/>
      <c r="M400" s="3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7"/>
      <c r="L401" s="37"/>
      <c r="M401" s="3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7"/>
      <c r="L402" s="37"/>
      <c r="M402" s="3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7"/>
      <c r="L403" s="37"/>
      <c r="M403" s="3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7"/>
      <c r="L404" s="37"/>
      <c r="M404" s="3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7"/>
      <c r="L405" s="37"/>
      <c r="M405" s="3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7"/>
      <c r="L406" s="37"/>
      <c r="M406" s="3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7"/>
      <c r="L407" s="37"/>
      <c r="M407" s="3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7"/>
      <c r="L408" s="37"/>
      <c r="M408" s="3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7"/>
      <c r="L409" s="37"/>
      <c r="M409" s="3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7"/>
      <c r="L410" s="37"/>
      <c r="M410" s="3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7"/>
      <c r="L411" s="37"/>
      <c r="M411" s="3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7"/>
      <c r="L412" s="37"/>
      <c r="M412" s="3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7"/>
      <c r="L413" s="37"/>
      <c r="M413" s="3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7"/>
      <c r="L414" s="37"/>
      <c r="M414" s="3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7"/>
      <c r="L415" s="37"/>
      <c r="M415" s="3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7"/>
      <c r="L416" s="37"/>
      <c r="M416" s="3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7"/>
      <c r="L417" s="37"/>
      <c r="M417" s="3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7"/>
      <c r="L418" s="37"/>
      <c r="M418" s="3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7"/>
      <c r="L419" s="37"/>
      <c r="M419" s="3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7"/>
      <c r="L420" s="37"/>
      <c r="M420" s="3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7"/>
      <c r="L421" s="37"/>
      <c r="M421" s="3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7"/>
      <c r="L422" s="37"/>
      <c r="M422" s="3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7"/>
      <c r="L423" s="37"/>
      <c r="M423" s="3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7"/>
      <c r="L424" s="37"/>
      <c r="M424" s="3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7"/>
      <c r="L425" s="37"/>
      <c r="M425" s="3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7"/>
      <c r="L426" s="37"/>
      <c r="M426" s="3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7"/>
      <c r="L427" s="37"/>
      <c r="M427" s="3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7"/>
      <c r="L428" s="37"/>
      <c r="M428" s="3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7"/>
      <c r="L429" s="37"/>
      <c r="M429" s="3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7"/>
      <c r="L430" s="37"/>
      <c r="M430" s="3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7"/>
      <c r="L431" s="37"/>
      <c r="M431" s="3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7"/>
      <c r="L432" s="37"/>
      <c r="M432" s="3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7"/>
      <c r="L433" s="37"/>
      <c r="M433" s="3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7"/>
      <c r="L434" s="37"/>
      <c r="M434" s="3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7"/>
      <c r="L435" s="37"/>
      <c r="M435" s="3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7"/>
      <c r="L436" s="37"/>
      <c r="M436" s="3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7"/>
      <c r="L437" s="37"/>
      <c r="M437" s="3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7"/>
      <c r="L438" s="37"/>
      <c r="M438" s="3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7"/>
      <c r="L439" s="37"/>
      <c r="M439" s="3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7"/>
      <c r="L440" s="37"/>
      <c r="M440" s="3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7"/>
      <c r="L441" s="37"/>
      <c r="M441" s="3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7"/>
      <c r="L442" s="37"/>
      <c r="M442" s="3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7"/>
      <c r="L443" s="37"/>
      <c r="M443" s="3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7"/>
      <c r="L444" s="37"/>
      <c r="M444" s="3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7"/>
      <c r="L445" s="37"/>
      <c r="M445" s="3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7"/>
      <c r="L446" s="37"/>
      <c r="M446" s="3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7"/>
      <c r="L447" s="37"/>
      <c r="M447" s="3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7"/>
      <c r="L448" s="37"/>
      <c r="M448" s="3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7"/>
      <c r="L449" s="37"/>
      <c r="M449" s="3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7"/>
      <c r="L450" s="37"/>
      <c r="M450" s="3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7"/>
      <c r="L451" s="37"/>
      <c r="M451" s="3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7"/>
      <c r="L452" s="37"/>
      <c r="M452" s="3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7"/>
      <c r="L453" s="37"/>
      <c r="M453" s="3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7"/>
      <c r="L454" s="37"/>
      <c r="M454" s="3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7"/>
      <c r="L455" s="37"/>
      <c r="M455" s="3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7"/>
      <c r="L456" s="37"/>
      <c r="M456" s="3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7"/>
      <c r="L457" s="37"/>
      <c r="M457" s="3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7"/>
      <c r="L458" s="37"/>
      <c r="M458" s="3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7"/>
      <c r="L459" s="37"/>
      <c r="M459" s="3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7"/>
      <c r="L460" s="37"/>
      <c r="M460" s="3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7"/>
      <c r="L461" s="37"/>
      <c r="M461" s="3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7"/>
      <c r="L462" s="37"/>
      <c r="M462" s="3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7"/>
      <c r="L463" s="37"/>
      <c r="M463" s="3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7"/>
      <c r="L464" s="37"/>
      <c r="M464" s="3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7"/>
      <c r="L465" s="37"/>
      <c r="M465" s="3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7"/>
      <c r="L466" s="37"/>
      <c r="M466" s="3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7"/>
      <c r="L467" s="37"/>
      <c r="M467" s="3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7"/>
      <c r="L468" s="37"/>
      <c r="M468" s="3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7"/>
      <c r="L469" s="37"/>
      <c r="M469" s="3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7"/>
      <c r="L470" s="37"/>
      <c r="M470" s="3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7"/>
      <c r="L471" s="37"/>
      <c r="M471" s="3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7"/>
      <c r="L472" s="37"/>
      <c r="M472" s="3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7"/>
      <c r="L473" s="37"/>
      <c r="M473" s="3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7"/>
      <c r="L474" s="37"/>
      <c r="M474" s="3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7"/>
      <c r="L475" s="37"/>
      <c r="M475" s="3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7"/>
      <c r="L476" s="37"/>
      <c r="M476" s="3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7"/>
      <c r="L477" s="37"/>
      <c r="M477" s="3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7"/>
      <c r="L478" s="37"/>
      <c r="M478" s="3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7"/>
      <c r="L479" s="37"/>
      <c r="M479" s="3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7"/>
      <c r="L480" s="37"/>
      <c r="M480" s="3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7"/>
      <c r="L481" s="37"/>
      <c r="M481" s="3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7"/>
      <c r="L482" s="37"/>
      <c r="M482" s="3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7"/>
      <c r="L483" s="37"/>
      <c r="M483" s="3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7"/>
      <c r="L484" s="37"/>
      <c r="M484" s="3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7"/>
      <c r="L485" s="37"/>
      <c r="M485" s="3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7"/>
      <c r="L486" s="37"/>
      <c r="M486" s="3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7"/>
      <c r="L487" s="37"/>
      <c r="M487" s="3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7"/>
      <c r="L488" s="37"/>
      <c r="M488" s="3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7"/>
      <c r="L489" s="37"/>
      <c r="M489" s="3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7"/>
      <c r="L490" s="37"/>
      <c r="M490" s="3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7"/>
      <c r="L491" s="37"/>
      <c r="M491" s="3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7"/>
      <c r="L492" s="37"/>
      <c r="M492" s="3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7"/>
      <c r="L493" s="37"/>
      <c r="M493" s="3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7"/>
      <c r="L494" s="37"/>
      <c r="M494" s="3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7"/>
      <c r="L495" s="37"/>
      <c r="M495" s="3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7"/>
      <c r="L496" s="37"/>
      <c r="M496" s="3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7"/>
      <c r="L497" s="37"/>
      <c r="M497" s="3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7"/>
      <c r="L498" s="37"/>
      <c r="M498" s="3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7"/>
      <c r="L499" s="37"/>
      <c r="M499" s="3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7"/>
      <c r="L500" s="37"/>
      <c r="M500" s="3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7"/>
      <c r="L501" s="37"/>
      <c r="M501" s="3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7"/>
      <c r="L502" s="37"/>
      <c r="M502" s="3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7"/>
      <c r="L503" s="37"/>
      <c r="M503" s="3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7"/>
      <c r="L504" s="37"/>
      <c r="M504" s="3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7"/>
      <c r="L505" s="37"/>
      <c r="M505" s="3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7"/>
      <c r="L506" s="37"/>
      <c r="M506" s="3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7"/>
      <c r="L507" s="37"/>
      <c r="M507" s="3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7"/>
      <c r="L508" s="37"/>
      <c r="M508" s="3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7"/>
      <c r="L509" s="37"/>
      <c r="M509" s="3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7"/>
      <c r="L510" s="37"/>
      <c r="M510" s="3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7"/>
      <c r="L511" s="37"/>
      <c r="M511" s="3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7"/>
      <c r="L512" s="37"/>
      <c r="M512" s="3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7"/>
      <c r="L513" s="37"/>
      <c r="M513" s="3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7"/>
      <c r="L514" s="37"/>
      <c r="M514" s="3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7"/>
      <c r="L515" s="37"/>
      <c r="M515" s="3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7"/>
      <c r="L516" s="37"/>
      <c r="M516" s="3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7"/>
      <c r="L517" s="37"/>
      <c r="M517" s="3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7"/>
      <c r="L518" s="37"/>
      <c r="M518" s="3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7"/>
      <c r="L519" s="37"/>
      <c r="M519" s="3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7"/>
      <c r="L520" s="37"/>
      <c r="M520" s="3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7"/>
      <c r="L521" s="37"/>
      <c r="M521" s="3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7"/>
      <c r="L522" s="37"/>
      <c r="M522" s="3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7"/>
      <c r="L523" s="37"/>
      <c r="M523" s="3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7"/>
      <c r="L524" s="37"/>
      <c r="M524" s="3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7"/>
      <c r="L525" s="37"/>
      <c r="M525" s="3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7"/>
      <c r="L526" s="37"/>
      <c r="M526" s="3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7"/>
      <c r="L527" s="37"/>
      <c r="M527" s="3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7"/>
      <c r="L528" s="37"/>
      <c r="M528" s="3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7"/>
      <c r="L529" s="37"/>
      <c r="M529" s="3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7"/>
      <c r="L530" s="37"/>
      <c r="M530" s="3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7"/>
      <c r="L531" s="37"/>
      <c r="M531" s="3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7"/>
      <c r="L532" s="37"/>
      <c r="M532" s="3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7"/>
      <c r="L533" s="37"/>
      <c r="M533" s="3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7"/>
      <c r="L534" s="37"/>
      <c r="M534" s="3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7"/>
      <c r="L535" s="37"/>
      <c r="M535" s="3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7"/>
      <c r="L536" s="37"/>
      <c r="M536" s="3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7"/>
      <c r="L537" s="37"/>
      <c r="M537" s="3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7"/>
      <c r="L538" s="37"/>
      <c r="M538" s="3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7"/>
      <c r="L539" s="37"/>
      <c r="M539" s="3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7"/>
      <c r="L540" s="37"/>
      <c r="M540" s="3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7"/>
      <c r="L541" s="37"/>
      <c r="M541" s="3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7"/>
      <c r="L542" s="37"/>
      <c r="M542" s="3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7"/>
      <c r="L543" s="37"/>
      <c r="M543" s="3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7"/>
      <c r="L544" s="37"/>
      <c r="M544" s="3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7"/>
      <c r="L545" s="37"/>
      <c r="M545" s="3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7"/>
      <c r="L546" s="37"/>
      <c r="M546" s="3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7"/>
      <c r="L547" s="37"/>
      <c r="M547" s="3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7"/>
      <c r="L548" s="37"/>
      <c r="M548" s="3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7"/>
      <c r="L549" s="37"/>
      <c r="M549" s="3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7"/>
      <c r="L550" s="37"/>
      <c r="M550" s="3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7"/>
      <c r="L551" s="37"/>
      <c r="M551" s="3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7"/>
      <c r="L552" s="37"/>
      <c r="M552" s="3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7"/>
      <c r="L553" s="37"/>
      <c r="M553" s="3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7"/>
      <c r="L554" s="37"/>
      <c r="M554" s="3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7"/>
      <c r="L555" s="37"/>
      <c r="M555" s="3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7"/>
      <c r="L556" s="37"/>
      <c r="M556" s="3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7"/>
      <c r="L557" s="37"/>
      <c r="M557" s="3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7"/>
      <c r="L558" s="37"/>
      <c r="M558" s="3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7"/>
      <c r="L559" s="37"/>
      <c r="M559" s="3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7"/>
      <c r="L560" s="37"/>
      <c r="M560" s="3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7"/>
      <c r="L561" s="37"/>
      <c r="M561" s="3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7"/>
      <c r="L562" s="37"/>
      <c r="M562" s="3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7"/>
      <c r="L563" s="37"/>
      <c r="M563" s="3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7"/>
      <c r="L564" s="37"/>
      <c r="M564" s="3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7"/>
      <c r="L565" s="37"/>
      <c r="M565" s="3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7"/>
      <c r="L566" s="37"/>
      <c r="M566" s="3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7"/>
      <c r="L567" s="37"/>
      <c r="M567" s="3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7"/>
      <c r="L568" s="37"/>
      <c r="M568" s="3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7"/>
      <c r="L569" s="37"/>
      <c r="M569" s="3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7"/>
      <c r="L570" s="37"/>
      <c r="M570" s="3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7"/>
      <c r="L571" s="37"/>
      <c r="M571" s="3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7"/>
      <c r="L572" s="37"/>
      <c r="M572" s="3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7"/>
      <c r="L573" s="37"/>
      <c r="M573" s="3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7"/>
      <c r="L574" s="37"/>
      <c r="M574" s="3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7"/>
      <c r="L575" s="37"/>
      <c r="M575" s="3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7"/>
      <c r="L576" s="37"/>
      <c r="M576" s="3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7"/>
      <c r="L577" s="37"/>
      <c r="M577" s="3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7"/>
      <c r="L578" s="37"/>
      <c r="M578" s="3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7"/>
      <c r="L579" s="37"/>
      <c r="M579" s="3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7"/>
      <c r="L580" s="37"/>
      <c r="M580" s="3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7"/>
      <c r="L581" s="37"/>
      <c r="M581" s="3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7"/>
      <c r="L582" s="37"/>
      <c r="M582" s="3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7"/>
      <c r="L583" s="37"/>
      <c r="M583" s="3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7"/>
      <c r="L584" s="37"/>
      <c r="M584" s="3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7"/>
      <c r="L585" s="37"/>
      <c r="M585" s="3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7"/>
      <c r="L586" s="37"/>
      <c r="M586" s="3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7"/>
      <c r="L587" s="37"/>
      <c r="M587" s="3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7"/>
      <c r="L588" s="37"/>
      <c r="M588" s="3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7"/>
      <c r="L589" s="37"/>
      <c r="M589" s="3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7"/>
      <c r="L590" s="37"/>
      <c r="M590" s="3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7"/>
      <c r="L591" s="37"/>
      <c r="M591" s="3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7"/>
      <c r="L592" s="37"/>
      <c r="M592" s="3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7"/>
      <c r="L593" s="37"/>
      <c r="M593" s="3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7"/>
      <c r="L594" s="37"/>
      <c r="M594" s="3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7"/>
      <c r="L595" s="37"/>
      <c r="M595" s="3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7"/>
      <c r="L596" s="37"/>
      <c r="M596" s="3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7"/>
      <c r="L597" s="37"/>
      <c r="M597" s="3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7"/>
      <c r="L598" s="37"/>
      <c r="M598" s="3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7"/>
      <c r="L599" s="37"/>
      <c r="M599" s="3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7"/>
      <c r="L600" s="37"/>
      <c r="M600" s="3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7"/>
      <c r="L601" s="37"/>
      <c r="M601" s="3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7"/>
      <c r="L602" s="37"/>
      <c r="M602" s="3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7"/>
      <c r="L603" s="37"/>
      <c r="M603" s="3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7"/>
      <c r="L604" s="37"/>
      <c r="M604" s="3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7"/>
      <c r="L605" s="37"/>
      <c r="M605" s="3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7"/>
      <c r="L606" s="37"/>
      <c r="M606" s="3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7"/>
      <c r="L607" s="37"/>
      <c r="M607" s="3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7"/>
      <c r="L608" s="37"/>
      <c r="M608" s="3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7"/>
      <c r="L609" s="37"/>
      <c r="M609" s="3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7"/>
      <c r="L610" s="37"/>
      <c r="M610" s="3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7"/>
      <c r="L611" s="37"/>
      <c r="M611" s="3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7"/>
      <c r="L612" s="37"/>
      <c r="M612" s="3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7"/>
      <c r="L613" s="37"/>
      <c r="M613" s="3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7"/>
      <c r="L614" s="37"/>
      <c r="M614" s="3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7"/>
      <c r="L615" s="37"/>
      <c r="M615" s="3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7"/>
      <c r="L616" s="37"/>
      <c r="M616" s="3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7"/>
      <c r="L617" s="37"/>
      <c r="M617" s="3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7"/>
      <c r="L618" s="37"/>
      <c r="M618" s="3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7"/>
      <c r="L619" s="37"/>
      <c r="M619" s="3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7"/>
      <c r="L620" s="37"/>
      <c r="M620" s="3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7"/>
      <c r="L621" s="37"/>
      <c r="M621" s="3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7"/>
      <c r="L622" s="37"/>
      <c r="M622" s="3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7"/>
      <c r="L623" s="37"/>
      <c r="M623" s="3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7"/>
      <c r="L624" s="37"/>
      <c r="M624" s="3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7"/>
      <c r="L625" s="37"/>
      <c r="M625" s="3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7"/>
      <c r="L626" s="37"/>
      <c r="M626" s="3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7"/>
      <c r="L627" s="37"/>
      <c r="M627" s="3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7"/>
      <c r="L628" s="37"/>
      <c r="M628" s="3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7"/>
      <c r="L629" s="37"/>
      <c r="M629" s="3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7"/>
      <c r="L630" s="37"/>
      <c r="M630" s="3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7"/>
      <c r="L631" s="37"/>
      <c r="M631" s="3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7"/>
      <c r="L632" s="37"/>
      <c r="M632" s="3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7"/>
      <c r="L633" s="37"/>
      <c r="M633" s="3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7"/>
      <c r="L634" s="37"/>
      <c r="M634" s="3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7"/>
      <c r="L635" s="37"/>
      <c r="M635" s="3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7"/>
      <c r="L636" s="37"/>
      <c r="M636" s="3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7"/>
      <c r="L637" s="37"/>
      <c r="M637" s="3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7"/>
      <c r="L638" s="37"/>
      <c r="M638" s="3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7"/>
      <c r="L639" s="37"/>
      <c r="M639" s="3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7"/>
      <c r="L640" s="37"/>
      <c r="M640" s="3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7"/>
      <c r="L641" s="37"/>
      <c r="M641" s="3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7"/>
      <c r="L642" s="37"/>
      <c r="M642" s="3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7"/>
      <c r="L643" s="37"/>
      <c r="M643" s="3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7"/>
      <c r="L644" s="37"/>
      <c r="M644" s="3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7"/>
      <c r="L645" s="37"/>
      <c r="M645" s="3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7"/>
      <c r="L646" s="37"/>
      <c r="M646" s="3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7"/>
      <c r="L647" s="37"/>
      <c r="M647" s="3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7"/>
      <c r="L648" s="37"/>
      <c r="M648" s="3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7"/>
      <c r="L649" s="37"/>
      <c r="M649" s="3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7"/>
      <c r="L650" s="37"/>
      <c r="M650" s="3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7"/>
      <c r="L651" s="37"/>
      <c r="M651" s="3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7"/>
      <c r="L652" s="37"/>
      <c r="M652" s="3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7"/>
      <c r="L653" s="37"/>
      <c r="M653" s="3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7"/>
      <c r="L654" s="37"/>
      <c r="M654" s="3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7"/>
      <c r="L655" s="37"/>
      <c r="M655" s="3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7"/>
      <c r="L656" s="37"/>
      <c r="M656" s="3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7"/>
      <c r="L657" s="37"/>
      <c r="M657" s="3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7"/>
      <c r="L658" s="37"/>
      <c r="M658" s="3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7"/>
      <c r="L659" s="37"/>
      <c r="M659" s="3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7"/>
      <c r="L660" s="37"/>
      <c r="M660" s="3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7"/>
      <c r="L661" s="37"/>
      <c r="M661" s="3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7"/>
      <c r="L662" s="37"/>
      <c r="M662" s="3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7"/>
      <c r="L663" s="37"/>
      <c r="M663" s="3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7"/>
      <c r="L664" s="37"/>
      <c r="M664" s="3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7"/>
      <c r="L665" s="37"/>
      <c r="M665" s="3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7"/>
      <c r="L666" s="37"/>
      <c r="M666" s="3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7"/>
      <c r="L667" s="37"/>
      <c r="M667" s="3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7"/>
      <c r="L668" s="37"/>
      <c r="M668" s="3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7"/>
      <c r="L669" s="37"/>
      <c r="M669" s="3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7"/>
      <c r="L670" s="37"/>
      <c r="M670" s="3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7"/>
      <c r="L671" s="37"/>
      <c r="M671" s="3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7"/>
      <c r="L672" s="37"/>
      <c r="M672" s="3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7"/>
      <c r="L673" s="37"/>
      <c r="M673" s="3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7"/>
      <c r="L674" s="37"/>
      <c r="M674" s="3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7"/>
      <c r="L675" s="37"/>
      <c r="M675" s="3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7"/>
      <c r="L676" s="37"/>
      <c r="M676" s="3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7"/>
      <c r="L677" s="37"/>
      <c r="M677" s="3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7"/>
      <c r="L678" s="37"/>
      <c r="M678" s="3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7"/>
      <c r="L679" s="37"/>
      <c r="M679" s="3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7"/>
      <c r="L680" s="37"/>
      <c r="M680" s="3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7"/>
      <c r="L681" s="37"/>
      <c r="M681" s="3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7"/>
      <c r="L682" s="37"/>
      <c r="M682" s="3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7"/>
      <c r="L683" s="37"/>
      <c r="M683" s="3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7"/>
      <c r="L684" s="37"/>
      <c r="M684" s="3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7"/>
      <c r="L685" s="37"/>
      <c r="M685" s="3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7"/>
      <c r="L686" s="37"/>
      <c r="M686" s="3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7"/>
      <c r="L687" s="37"/>
      <c r="M687" s="3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7"/>
      <c r="L688" s="37"/>
      <c r="M688" s="3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7"/>
      <c r="L689" s="37"/>
      <c r="M689" s="3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7"/>
      <c r="L690" s="37"/>
      <c r="M690" s="3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7"/>
      <c r="L691" s="37"/>
      <c r="M691" s="3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7"/>
      <c r="L692" s="37"/>
      <c r="M692" s="3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7"/>
      <c r="L693" s="37"/>
      <c r="M693" s="3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7"/>
      <c r="L694" s="37"/>
      <c r="M694" s="3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7"/>
      <c r="L695" s="37"/>
      <c r="M695" s="3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7"/>
      <c r="L696" s="37"/>
      <c r="M696" s="3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7"/>
      <c r="L697" s="37"/>
      <c r="M697" s="3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7"/>
      <c r="L698" s="37"/>
      <c r="M698" s="3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7"/>
      <c r="L699" s="37"/>
      <c r="M699" s="3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7"/>
      <c r="L700" s="37"/>
      <c r="M700" s="3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7"/>
      <c r="L701" s="37"/>
      <c r="M701" s="3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7"/>
      <c r="L702" s="37"/>
      <c r="M702" s="3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7"/>
      <c r="L703" s="37"/>
      <c r="M703" s="3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7"/>
      <c r="L704" s="37"/>
      <c r="M704" s="3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7"/>
      <c r="L705" s="37"/>
      <c r="M705" s="3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7"/>
      <c r="L706" s="37"/>
      <c r="M706" s="3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7"/>
      <c r="L707" s="37"/>
      <c r="M707" s="3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7"/>
      <c r="L708" s="37"/>
      <c r="M708" s="3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7"/>
      <c r="L709" s="37"/>
      <c r="M709" s="3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7"/>
      <c r="L710" s="37"/>
      <c r="M710" s="3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7"/>
      <c r="L711" s="37"/>
      <c r="M711" s="3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7"/>
      <c r="L712" s="37"/>
      <c r="M712" s="3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7"/>
      <c r="L713" s="37"/>
      <c r="M713" s="3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7"/>
      <c r="L714" s="37"/>
      <c r="M714" s="3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7"/>
      <c r="L715" s="37"/>
      <c r="M715" s="3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7"/>
      <c r="L716" s="37"/>
      <c r="M716" s="3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7"/>
      <c r="L717" s="37"/>
      <c r="M717" s="3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7"/>
      <c r="L718" s="37"/>
      <c r="M718" s="3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7"/>
      <c r="L719" s="37"/>
      <c r="M719" s="3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7"/>
      <c r="L720" s="37"/>
      <c r="M720" s="3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7"/>
      <c r="L721" s="37"/>
      <c r="M721" s="3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7"/>
      <c r="L722" s="37"/>
      <c r="M722" s="3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7"/>
      <c r="L723" s="37"/>
      <c r="M723" s="3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7"/>
      <c r="L724" s="37"/>
      <c r="M724" s="3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7"/>
      <c r="L725" s="37"/>
      <c r="M725" s="3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7"/>
      <c r="L726" s="37"/>
      <c r="M726" s="3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7"/>
      <c r="L727" s="37"/>
      <c r="M727" s="3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7"/>
      <c r="L728" s="37"/>
      <c r="M728" s="3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7"/>
      <c r="L729" s="37"/>
      <c r="M729" s="3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7"/>
      <c r="L730" s="37"/>
      <c r="M730" s="3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7"/>
      <c r="L731" s="37"/>
      <c r="M731" s="3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7"/>
      <c r="L732" s="37"/>
      <c r="M732" s="3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7"/>
      <c r="L733" s="37"/>
      <c r="M733" s="3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7"/>
      <c r="L734" s="37"/>
      <c r="M734" s="3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7"/>
      <c r="L735" s="37"/>
      <c r="M735" s="3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7"/>
      <c r="L736" s="37"/>
      <c r="M736" s="3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7"/>
      <c r="L737" s="37"/>
      <c r="M737" s="3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7"/>
      <c r="L738" s="37"/>
      <c r="M738" s="3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7"/>
      <c r="L739" s="37"/>
      <c r="M739" s="3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7"/>
      <c r="L740" s="37"/>
      <c r="M740" s="3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7"/>
      <c r="L741" s="37"/>
      <c r="M741" s="3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7"/>
      <c r="L742" s="37"/>
      <c r="M742" s="3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7"/>
      <c r="L743" s="37"/>
      <c r="M743" s="3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7"/>
      <c r="L744" s="37"/>
      <c r="M744" s="3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7"/>
      <c r="L745" s="37"/>
      <c r="M745" s="3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7"/>
      <c r="L746" s="37"/>
      <c r="M746" s="3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7"/>
      <c r="L747" s="37"/>
      <c r="M747" s="3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7"/>
      <c r="L748" s="37"/>
      <c r="M748" s="3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7"/>
      <c r="L749" s="37"/>
      <c r="M749" s="3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7"/>
      <c r="L750" s="37"/>
      <c r="M750" s="3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7"/>
      <c r="L751" s="37"/>
      <c r="M751" s="3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7"/>
      <c r="L752" s="37"/>
      <c r="M752" s="3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7"/>
      <c r="L753" s="37"/>
      <c r="M753" s="3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7"/>
      <c r="L754" s="37"/>
      <c r="M754" s="3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7"/>
      <c r="L755" s="37"/>
      <c r="M755" s="3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7"/>
      <c r="L756" s="37"/>
      <c r="M756" s="3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7"/>
      <c r="L757" s="37"/>
      <c r="M757" s="3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7"/>
      <c r="L758" s="37"/>
      <c r="M758" s="3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7"/>
      <c r="L759" s="37"/>
      <c r="M759" s="3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7"/>
      <c r="L760" s="37"/>
      <c r="M760" s="3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7"/>
      <c r="L761" s="37"/>
      <c r="M761" s="3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7"/>
      <c r="L762" s="37"/>
      <c r="M762" s="3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7"/>
      <c r="L763" s="37"/>
      <c r="M763" s="3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7"/>
      <c r="L764" s="37"/>
      <c r="M764" s="3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7"/>
      <c r="L765" s="37"/>
      <c r="M765" s="3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7"/>
      <c r="L766" s="37"/>
      <c r="M766" s="3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7"/>
      <c r="L767" s="37"/>
      <c r="M767" s="3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7"/>
      <c r="L768" s="37"/>
      <c r="M768" s="3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7"/>
      <c r="L769" s="37"/>
      <c r="M769" s="3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7"/>
      <c r="L770" s="37"/>
      <c r="M770" s="3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7"/>
      <c r="L771" s="37"/>
      <c r="M771" s="3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7"/>
      <c r="L772" s="37"/>
      <c r="M772" s="3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7"/>
      <c r="L773" s="37"/>
      <c r="M773" s="3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7"/>
      <c r="L774" s="37"/>
      <c r="M774" s="3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7"/>
      <c r="L775" s="37"/>
      <c r="M775" s="3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7"/>
      <c r="L776" s="37"/>
      <c r="M776" s="3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7"/>
      <c r="L777" s="37"/>
      <c r="M777" s="3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7"/>
      <c r="L778" s="37"/>
      <c r="M778" s="3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7"/>
      <c r="L779" s="37"/>
      <c r="M779" s="3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7"/>
      <c r="L780" s="37"/>
      <c r="M780" s="3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7"/>
      <c r="L781" s="37"/>
      <c r="M781" s="3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7"/>
      <c r="L782" s="37"/>
      <c r="M782" s="3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7"/>
      <c r="L783" s="37"/>
      <c r="M783" s="3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7"/>
      <c r="L784" s="37"/>
      <c r="M784" s="3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7"/>
      <c r="L785" s="37"/>
      <c r="M785" s="3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7"/>
      <c r="L786" s="37"/>
      <c r="M786" s="3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7"/>
      <c r="L787" s="37"/>
      <c r="M787" s="3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7"/>
      <c r="L788" s="37"/>
      <c r="M788" s="3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7"/>
      <c r="L789" s="37"/>
      <c r="M789" s="3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7"/>
      <c r="L790" s="37"/>
      <c r="M790" s="3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7"/>
      <c r="L791" s="37"/>
      <c r="M791" s="3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7"/>
      <c r="L792" s="37"/>
      <c r="M792" s="3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7"/>
      <c r="L793" s="37"/>
      <c r="M793" s="3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7"/>
      <c r="L794" s="37"/>
      <c r="M794" s="3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7"/>
      <c r="L795" s="37"/>
      <c r="M795" s="3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7"/>
      <c r="L796" s="37"/>
      <c r="M796" s="3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7"/>
      <c r="L797" s="37"/>
      <c r="M797" s="3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7"/>
      <c r="L798" s="37"/>
      <c r="M798" s="3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7"/>
      <c r="L799" s="37"/>
      <c r="M799" s="3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7"/>
      <c r="L800" s="37"/>
      <c r="M800" s="3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7"/>
      <c r="L801" s="37"/>
      <c r="M801" s="3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7"/>
      <c r="L802" s="37"/>
      <c r="M802" s="3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7"/>
      <c r="L803" s="37"/>
      <c r="M803" s="3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7"/>
      <c r="L804" s="37"/>
      <c r="M804" s="3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7"/>
      <c r="L805" s="37"/>
      <c r="M805" s="3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7"/>
      <c r="L806" s="37"/>
      <c r="M806" s="3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7"/>
      <c r="L807" s="37"/>
      <c r="M807" s="3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7"/>
      <c r="L808" s="37"/>
      <c r="M808" s="3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7"/>
      <c r="L809" s="37"/>
      <c r="M809" s="3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7"/>
      <c r="L810" s="37"/>
      <c r="M810" s="3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7"/>
      <c r="L811" s="37"/>
      <c r="M811" s="3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7"/>
      <c r="L812" s="37"/>
      <c r="M812" s="3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7"/>
      <c r="L813" s="37"/>
      <c r="M813" s="3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7"/>
      <c r="L814" s="37"/>
      <c r="M814" s="3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7"/>
      <c r="L815" s="37"/>
      <c r="M815" s="3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7"/>
      <c r="L816" s="37"/>
      <c r="M816" s="3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7"/>
      <c r="L817" s="37"/>
      <c r="M817" s="3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7"/>
      <c r="L818" s="37"/>
      <c r="M818" s="3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7"/>
      <c r="L819" s="37"/>
      <c r="M819" s="3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7"/>
      <c r="L820" s="37"/>
      <c r="M820" s="3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7"/>
      <c r="L821" s="37"/>
      <c r="M821" s="3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7"/>
      <c r="L822" s="37"/>
      <c r="M822" s="3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7"/>
      <c r="L823" s="37"/>
      <c r="M823" s="3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7"/>
      <c r="L824" s="37"/>
      <c r="M824" s="3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7"/>
      <c r="L825" s="37"/>
      <c r="M825" s="3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7"/>
      <c r="L826" s="37"/>
      <c r="M826" s="3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7"/>
      <c r="L827" s="37"/>
      <c r="M827" s="3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7"/>
      <c r="L828" s="37"/>
      <c r="M828" s="3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7"/>
      <c r="L829" s="37"/>
      <c r="M829" s="3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7"/>
      <c r="L830" s="37"/>
      <c r="M830" s="3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7"/>
      <c r="L831" s="37"/>
      <c r="M831" s="3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7"/>
      <c r="L832" s="37"/>
      <c r="M832" s="3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7"/>
      <c r="L833" s="37"/>
      <c r="M833" s="3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7"/>
      <c r="L834" s="37"/>
      <c r="M834" s="3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7"/>
      <c r="L835" s="37"/>
      <c r="M835" s="3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7"/>
      <c r="L836" s="37"/>
      <c r="M836" s="3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7"/>
      <c r="L837" s="37"/>
      <c r="M837" s="3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7"/>
      <c r="L838" s="37"/>
      <c r="M838" s="3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7"/>
      <c r="L839" s="37"/>
      <c r="M839" s="3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7"/>
      <c r="L840" s="37"/>
      <c r="M840" s="3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7"/>
      <c r="L841" s="37"/>
      <c r="M841" s="3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7"/>
      <c r="L842" s="37"/>
      <c r="M842" s="3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7"/>
      <c r="L843" s="37"/>
      <c r="M843" s="3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7"/>
      <c r="L844" s="37"/>
      <c r="M844" s="3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7"/>
      <c r="L845" s="37"/>
      <c r="M845" s="3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7"/>
      <c r="L846" s="37"/>
      <c r="M846" s="3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7"/>
      <c r="L847" s="37"/>
      <c r="M847" s="3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7"/>
      <c r="L848" s="37"/>
      <c r="M848" s="3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7"/>
      <c r="L849" s="37"/>
      <c r="M849" s="3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7"/>
      <c r="L850" s="37"/>
      <c r="M850" s="3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7"/>
      <c r="L851" s="37"/>
      <c r="M851" s="3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7"/>
      <c r="L852" s="37"/>
      <c r="M852" s="3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7"/>
      <c r="L853" s="37"/>
      <c r="M853" s="3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7"/>
      <c r="L854" s="37"/>
      <c r="M854" s="3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7"/>
      <c r="L855" s="37"/>
      <c r="M855" s="3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7"/>
      <c r="L856" s="37"/>
      <c r="M856" s="3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7"/>
      <c r="L857" s="37"/>
      <c r="M857" s="3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7"/>
      <c r="L858" s="37"/>
      <c r="M858" s="3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7"/>
      <c r="L859" s="37"/>
      <c r="M859" s="3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7"/>
      <c r="L860" s="37"/>
      <c r="M860" s="3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7"/>
      <c r="L861" s="37"/>
      <c r="M861" s="3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7"/>
      <c r="L862" s="37"/>
      <c r="M862" s="3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7"/>
      <c r="L863" s="37"/>
      <c r="M863" s="3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7"/>
      <c r="L864" s="37"/>
      <c r="M864" s="3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7"/>
      <c r="L865" s="37"/>
      <c r="M865" s="3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7"/>
      <c r="L866" s="37"/>
      <c r="M866" s="3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7"/>
      <c r="L867" s="37"/>
      <c r="M867" s="3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7"/>
      <c r="L868" s="37"/>
      <c r="M868" s="3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7"/>
      <c r="L869" s="37"/>
      <c r="M869" s="3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7"/>
      <c r="L870" s="37"/>
      <c r="M870" s="3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7"/>
      <c r="L871" s="37"/>
      <c r="M871" s="3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7"/>
      <c r="L872" s="37"/>
      <c r="M872" s="3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7"/>
      <c r="L873" s="37"/>
      <c r="M873" s="3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7"/>
      <c r="L874" s="37"/>
      <c r="M874" s="3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7"/>
      <c r="L875" s="37"/>
      <c r="M875" s="3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7"/>
      <c r="L876" s="37"/>
      <c r="M876" s="3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7"/>
      <c r="L877" s="37"/>
      <c r="M877" s="3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7"/>
      <c r="L878" s="37"/>
      <c r="M878" s="3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7"/>
      <c r="L879" s="37"/>
      <c r="M879" s="3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7"/>
      <c r="L880" s="37"/>
      <c r="M880" s="3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7"/>
      <c r="L881" s="37"/>
      <c r="M881" s="3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7"/>
      <c r="L882" s="37"/>
      <c r="M882" s="3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7"/>
      <c r="L883" s="37"/>
      <c r="M883" s="3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7"/>
      <c r="L884" s="37"/>
      <c r="M884" s="3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7"/>
      <c r="L885" s="37"/>
      <c r="M885" s="3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7"/>
      <c r="L886" s="37"/>
      <c r="M886" s="3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7"/>
      <c r="L887" s="37"/>
      <c r="M887" s="3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7"/>
      <c r="L888" s="37"/>
      <c r="M888" s="3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7"/>
      <c r="L889" s="37"/>
      <c r="M889" s="3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7"/>
      <c r="L890" s="37"/>
      <c r="M890" s="3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7"/>
      <c r="L891" s="37"/>
      <c r="M891" s="3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7"/>
      <c r="L892" s="37"/>
      <c r="M892" s="3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7"/>
      <c r="L893" s="37"/>
      <c r="M893" s="3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7"/>
      <c r="L894" s="37"/>
      <c r="M894" s="3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7"/>
      <c r="L895" s="37"/>
      <c r="M895" s="3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7"/>
      <c r="L896" s="37"/>
      <c r="M896" s="3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7"/>
      <c r="L897" s="37"/>
      <c r="M897" s="3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7"/>
      <c r="L898" s="37"/>
      <c r="M898" s="3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7"/>
      <c r="L899" s="37"/>
      <c r="M899" s="3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7"/>
      <c r="L900" s="37"/>
      <c r="M900" s="3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7"/>
      <c r="L901" s="37"/>
      <c r="M901" s="3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7"/>
      <c r="L902" s="37"/>
      <c r="M902" s="3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7"/>
      <c r="L903" s="37"/>
      <c r="M903" s="3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7"/>
      <c r="L904" s="37"/>
      <c r="M904" s="3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7"/>
      <c r="L905" s="37"/>
      <c r="M905" s="3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7"/>
      <c r="L906" s="37"/>
      <c r="M906" s="3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7"/>
      <c r="L907" s="37"/>
      <c r="M907" s="3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7"/>
      <c r="L908" s="37"/>
      <c r="M908" s="3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7"/>
      <c r="L909" s="37"/>
      <c r="M909" s="3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7"/>
      <c r="L910" s="37"/>
      <c r="M910" s="3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7"/>
      <c r="L911" s="37"/>
      <c r="M911" s="3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7"/>
      <c r="L912" s="37"/>
      <c r="M912" s="3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7"/>
      <c r="L913" s="37"/>
      <c r="M913" s="3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7"/>
      <c r="L914" s="37"/>
      <c r="M914" s="3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7"/>
      <c r="L915" s="37"/>
      <c r="M915" s="3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7"/>
      <c r="L916" s="37"/>
      <c r="M916" s="3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7"/>
      <c r="L917" s="37"/>
      <c r="M917" s="3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7"/>
      <c r="L918" s="37"/>
      <c r="M918" s="3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7"/>
      <c r="L919" s="37"/>
      <c r="M919" s="3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7"/>
      <c r="L920" s="37"/>
      <c r="M920" s="3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7"/>
      <c r="L921" s="37"/>
      <c r="M921" s="3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7"/>
      <c r="L922" s="37"/>
      <c r="M922" s="3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7"/>
      <c r="L923" s="37"/>
      <c r="M923" s="3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7"/>
      <c r="L924" s="37"/>
      <c r="M924" s="3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7"/>
      <c r="L925" s="37"/>
      <c r="M925" s="3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7"/>
      <c r="L926" s="37"/>
      <c r="M926" s="3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7"/>
      <c r="L927" s="37"/>
      <c r="M927" s="3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7"/>
      <c r="L928" s="37"/>
      <c r="M928" s="3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7"/>
      <c r="L929" s="37"/>
      <c r="M929" s="3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7"/>
      <c r="L930" s="37"/>
      <c r="M930" s="3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7"/>
      <c r="L931" s="37"/>
      <c r="M931" s="3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7"/>
      <c r="L932" s="37"/>
      <c r="M932" s="3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7"/>
      <c r="L933" s="37"/>
      <c r="M933" s="3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7"/>
      <c r="L934" s="37"/>
      <c r="M934" s="3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7"/>
      <c r="L935" s="37"/>
      <c r="M935" s="3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7"/>
      <c r="L936" s="37"/>
      <c r="M936" s="3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7"/>
      <c r="L937" s="37"/>
      <c r="M937" s="3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7"/>
      <c r="L938" s="37"/>
      <c r="M938" s="3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7"/>
      <c r="L939" s="37"/>
      <c r="M939" s="3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7"/>
      <c r="L940" s="37"/>
      <c r="M940" s="3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7"/>
      <c r="L941" s="37"/>
      <c r="M941" s="3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7"/>
      <c r="L942" s="37"/>
      <c r="M942" s="3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7"/>
      <c r="L943" s="37"/>
      <c r="M943" s="3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7"/>
      <c r="L944" s="37"/>
      <c r="M944" s="3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7"/>
      <c r="L945" s="37"/>
      <c r="M945" s="3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7"/>
      <c r="L946" s="37"/>
      <c r="M946" s="3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7"/>
      <c r="L947" s="37"/>
      <c r="M947" s="3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7"/>
      <c r="L948" s="37"/>
      <c r="M948" s="3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7"/>
      <c r="L949" s="37"/>
      <c r="M949" s="3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7"/>
      <c r="L950" s="37"/>
      <c r="M950" s="3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7"/>
      <c r="L951" s="37"/>
      <c r="M951" s="3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7"/>
      <c r="L952" s="37"/>
      <c r="M952" s="3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7"/>
      <c r="L953" s="37"/>
      <c r="M953" s="3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7"/>
      <c r="L954" s="37"/>
      <c r="M954" s="3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7"/>
      <c r="L955" s="37"/>
      <c r="M955" s="3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7"/>
      <c r="L956" s="37"/>
      <c r="M956" s="3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7"/>
      <c r="L957" s="37"/>
      <c r="M957" s="3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7"/>
      <c r="L958" s="37"/>
      <c r="M958" s="3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7"/>
      <c r="L959" s="37"/>
      <c r="M959" s="3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7"/>
      <c r="L960" s="37"/>
      <c r="M960" s="3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7"/>
      <c r="L961" s="37"/>
      <c r="M961" s="3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7"/>
      <c r="L962" s="37"/>
      <c r="M962" s="3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7"/>
      <c r="L963" s="37"/>
      <c r="M963" s="3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7"/>
      <c r="L964" s="37"/>
      <c r="M964" s="3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7"/>
      <c r="L965" s="37"/>
      <c r="M965" s="3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7"/>
      <c r="L966" s="37"/>
      <c r="M966" s="3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7"/>
      <c r="L967" s="37"/>
      <c r="M967" s="3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7"/>
      <c r="L968" s="37"/>
      <c r="M968" s="3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7"/>
      <c r="L969" s="37"/>
      <c r="M969" s="3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7"/>
      <c r="L970" s="37"/>
      <c r="M970" s="3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7"/>
      <c r="L971" s="37"/>
      <c r="M971" s="3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7"/>
      <c r="L972" s="37"/>
      <c r="M972" s="3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7"/>
      <c r="L973" s="37"/>
      <c r="M973" s="3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7"/>
      <c r="L974" s="37"/>
      <c r="M974" s="3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7"/>
      <c r="L975" s="37"/>
      <c r="M975" s="3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7"/>
      <c r="L976" s="37"/>
      <c r="M976" s="3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7"/>
      <c r="L977" s="37"/>
      <c r="M977" s="3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7"/>
      <c r="L978" s="37"/>
      <c r="M978" s="3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7"/>
      <c r="L979" s="37"/>
      <c r="M979" s="3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7"/>
      <c r="L980" s="37"/>
      <c r="M980" s="3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7"/>
      <c r="L981" s="37"/>
      <c r="M981" s="3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7"/>
      <c r="L982" s="37"/>
      <c r="M982" s="3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7"/>
      <c r="L983" s="37"/>
      <c r="M983" s="3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7"/>
      <c r="L984" s="37"/>
      <c r="M984" s="3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7"/>
      <c r="L985" s="37"/>
      <c r="M985" s="3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7"/>
      <c r="L986" s="37"/>
      <c r="M986" s="3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7"/>
      <c r="L987" s="37"/>
      <c r="M987" s="3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7"/>
      <c r="L988" s="37"/>
      <c r="M988" s="3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7"/>
      <c r="L989" s="37"/>
      <c r="M989" s="3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7"/>
      <c r="L990" s="37"/>
      <c r="M990" s="3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7"/>
      <c r="L991" s="37"/>
      <c r="M991" s="3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7"/>
      <c r="L992" s="37"/>
      <c r="M992" s="3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7"/>
      <c r="L993" s="37"/>
      <c r="M993" s="3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7"/>
      <c r="L994" s="37"/>
      <c r="M994" s="3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7"/>
      <c r="L995" s="37"/>
      <c r="M995" s="3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7"/>
      <c r="L996" s="37"/>
      <c r="M996" s="3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7"/>
      <c r="L997" s="37"/>
      <c r="M997" s="3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7"/>
      <c r="L998" s="37"/>
      <c r="M998" s="3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7"/>
      <c r="L999" s="37"/>
      <c r="M999" s="3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7"/>
      <c r="L1000" s="37"/>
      <c r="M1000" s="3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37"/>
      <c r="L1001" s="37"/>
      <c r="M1001" s="37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37"/>
      <c r="L1002" s="37"/>
      <c r="M1002" s="37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37"/>
      <c r="L1003" s="37"/>
      <c r="M1003" s="37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37"/>
      <c r="L1004" s="37"/>
      <c r="M1004" s="37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2.0"/>
    <col customWidth="1" min="4" max="4" width="18.0"/>
    <col customWidth="1" min="5" max="24" width="10.0"/>
    <col customWidth="1" min="25" max="25" width="20.0"/>
    <col customWidth="1" min="26" max="26" width="12.0"/>
    <col customWidth="1" min="27" max="28" width="8.71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4</v>
      </c>
      <c r="L1" s="1" t="s">
        <v>5</v>
      </c>
      <c r="M1" s="1" t="s">
        <v>6</v>
      </c>
      <c r="N1" s="1" t="s">
        <v>7</v>
      </c>
      <c r="O1" s="3" t="s">
        <v>8</v>
      </c>
      <c r="P1" s="4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3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5"/>
      <c r="AB1" s="5"/>
    </row>
    <row r="2" ht="19.5" customHeight="1">
      <c r="A2" s="6" t="s">
        <v>20</v>
      </c>
      <c r="B2" s="6"/>
      <c r="C2" s="7"/>
      <c r="D2" s="7"/>
      <c r="E2" s="6"/>
      <c r="F2" s="6"/>
      <c r="G2" s="6"/>
      <c r="H2" s="8"/>
      <c r="I2" s="9">
        <f t="shared" ref="I2:J2" si="1">AVERAGE(I6:I17)</f>
        <v>0.25</v>
      </c>
      <c r="J2" s="9">
        <f t="shared" si="1"/>
        <v>0.6111111111</v>
      </c>
      <c r="K2" s="6"/>
      <c r="L2" s="6"/>
      <c r="M2" s="6"/>
      <c r="N2" s="8"/>
      <c r="O2" s="9">
        <f t="shared" ref="O2:P2" si="2">AVERAGE(O6:O17)</f>
        <v>0.5555555556</v>
      </c>
      <c r="P2" s="9">
        <f t="shared" si="2"/>
        <v>0.5694444444</v>
      </c>
      <c r="Q2" s="10"/>
      <c r="R2" s="6"/>
      <c r="S2" s="6"/>
      <c r="T2" s="8"/>
      <c r="U2" s="9">
        <f>AVERAGE(U6:U17)</f>
        <v>0.5555555556</v>
      </c>
      <c r="V2" s="11"/>
      <c r="W2" s="12"/>
      <c r="X2" s="12"/>
      <c r="Y2" s="13"/>
      <c r="Z2" s="7"/>
      <c r="AA2" s="5"/>
      <c r="AB2" s="5"/>
    </row>
    <row r="3" ht="19.5" customHeight="1">
      <c r="A3" s="6" t="s">
        <v>21</v>
      </c>
      <c r="B3" s="6"/>
      <c r="C3" s="7"/>
      <c r="D3" s="7"/>
      <c r="E3" s="6"/>
      <c r="F3" s="6"/>
      <c r="G3" s="6"/>
      <c r="H3" s="8"/>
      <c r="I3" s="9">
        <f t="shared" ref="I3:J3" si="3">AVERAGE(I18:I53)</f>
        <v>0.2592592593</v>
      </c>
      <c r="J3" s="9">
        <f t="shared" si="3"/>
        <v>0.8913043478</v>
      </c>
      <c r="K3" s="6"/>
      <c r="L3" s="6"/>
      <c r="M3" s="6"/>
      <c r="N3" s="8"/>
      <c r="O3" s="9">
        <f t="shared" ref="O3:P3" si="4">AVERAGE(O18:O53)</f>
        <v>0.5555555556</v>
      </c>
      <c r="P3" s="9">
        <f t="shared" si="4"/>
        <v>0.587962963</v>
      </c>
      <c r="Q3" s="10"/>
      <c r="R3" s="6"/>
      <c r="S3" s="6"/>
      <c r="T3" s="8"/>
      <c r="U3" s="9">
        <f>AVERAGE(U18:U53)</f>
        <v>0.6111111111</v>
      </c>
      <c r="V3" s="11"/>
      <c r="W3" s="12"/>
      <c r="X3" s="12"/>
      <c r="Y3" s="13"/>
      <c r="Z3" s="7"/>
      <c r="AA3" s="5"/>
      <c r="AB3" s="5"/>
    </row>
    <row r="4" ht="19.5" customHeight="1">
      <c r="A4" s="6" t="s">
        <v>22</v>
      </c>
      <c r="B4" s="6"/>
      <c r="C4" s="7"/>
      <c r="D4" s="7"/>
      <c r="E4" s="6" t="s">
        <v>20</v>
      </c>
      <c r="F4" s="6" t="s">
        <v>21</v>
      </c>
      <c r="G4" s="6" t="s">
        <v>22</v>
      </c>
      <c r="H4" s="8"/>
      <c r="I4" s="9">
        <f t="shared" ref="I4:J4" si="5">AVERAGE(I54:I89)</f>
        <v>0.2407407407</v>
      </c>
      <c r="J4" s="9">
        <f t="shared" si="5"/>
        <v>0.8958333333</v>
      </c>
      <c r="K4" s="6" t="s">
        <v>20</v>
      </c>
      <c r="L4" s="6" t="s">
        <v>21</v>
      </c>
      <c r="M4" s="6" t="s">
        <v>22</v>
      </c>
      <c r="N4" s="8"/>
      <c r="O4" s="9">
        <f t="shared" ref="O4:P4" si="6">AVERAGE(O54:O89)</f>
        <v>0.5648148148</v>
      </c>
      <c r="P4" s="9">
        <f t="shared" si="6"/>
        <v>0.5740740741</v>
      </c>
      <c r="Q4" s="6" t="s">
        <v>20</v>
      </c>
      <c r="R4" s="6" t="s">
        <v>21</v>
      </c>
      <c r="S4" s="6" t="s">
        <v>22</v>
      </c>
      <c r="T4" s="8"/>
      <c r="U4" s="9">
        <f>AVERAGE(U54:U89)</f>
        <v>0.6944444444</v>
      </c>
      <c r="V4" s="11"/>
      <c r="W4" s="12"/>
      <c r="X4" s="12"/>
      <c r="Y4" s="13"/>
      <c r="Z4" s="7"/>
      <c r="AA4" s="5"/>
      <c r="AB4" s="5"/>
    </row>
    <row r="5" ht="19.5" customHeight="1">
      <c r="A5" s="6" t="s">
        <v>23</v>
      </c>
      <c r="B5" s="6"/>
      <c r="C5" s="7"/>
      <c r="D5" s="14" t="s">
        <v>24</v>
      </c>
      <c r="E5" s="6">
        <f>COUNTIF(E6:G17, "X")</f>
        <v>23</v>
      </c>
      <c r="F5" s="6">
        <f>COUNTIF(F18:G53, "X")</f>
        <v>49</v>
      </c>
      <c r="G5" s="6">
        <f>COUNTIF(F54:G89, "X")</f>
        <v>52</v>
      </c>
      <c r="H5" s="15"/>
      <c r="I5" s="9">
        <f t="shared" ref="I5:J5" si="7">AVERAGE(I6:I89)</f>
        <v>0.25</v>
      </c>
      <c r="J5" s="9">
        <f t="shared" si="7"/>
        <v>0.8482142857</v>
      </c>
      <c r="K5" s="6">
        <f>COUNTIF(K6:M17, "X")</f>
        <v>1</v>
      </c>
      <c r="L5" s="6">
        <f>COUNTIF(L18:M53, "X")</f>
        <v>2</v>
      </c>
      <c r="M5" s="6">
        <f>COUNTIF(L54:M89, "X")</f>
        <v>2</v>
      </c>
      <c r="N5" s="15"/>
      <c r="O5" s="9">
        <f t="shared" ref="O5:P5" si="8">AVERAGE(O6:O89)</f>
        <v>0.5595238095</v>
      </c>
      <c r="P5" s="9">
        <f t="shared" si="8"/>
        <v>0.5793650794</v>
      </c>
      <c r="Q5" s="6">
        <f>COUNTIF(Q6:S17, "X")</f>
        <v>0</v>
      </c>
      <c r="R5" s="6">
        <f>COUNTIF(R18:S53, "X")</f>
        <v>0</v>
      </c>
      <c r="S5" s="6">
        <f>COUNTIF(R54:S89, "X")</f>
        <v>0</v>
      </c>
      <c r="T5" s="8"/>
      <c r="U5" s="9">
        <f>AVERAGE(U6:U89)</f>
        <v>0.6388888889</v>
      </c>
      <c r="V5" s="11"/>
      <c r="W5" s="12"/>
      <c r="X5" s="12"/>
      <c r="Y5" s="13"/>
      <c r="Z5" s="7"/>
      <c r="AA5" s="5"/>
      <c r="AB5" s="5"/>
    </row>
    <row r="6" ht="19.5" customHeight="1">
      <c r="A6" s="6">
        <v>601.0</v>
      </c>
      <c r="B6" s="6" t="s">
        <v>25</v>
      </c>
      <c r="C6" s="7" t="s">
        <v>26</v>
      </c>
      <c r="D6" s="7" t="s">
        <v>27</v>
      </c>
      <c r="E6" s="16" t="s">
        <v>28</v>
      </c>
      <c r="F6" s="16" t="s">
        <v>29</v>
      </c>
      <c r="G6" s="17" t="s">
        <v>30</v>
      </c>
      <c r="H6" s="18">
        <f t="shared" ref="H6:H7" si="9">IF(E6="","",IF(E6=V6,1,0))+IF(F6="","",IF(F6=W6,1,0))+IF(G6="","",IF(G6=X6,1,0))</f>
        <v>1</v>
      </c>
      <c r="I6" s="19">
        <f t="shared" ref="I6:I7" si="10">IF(H6="","",H6/3)</f>
        <v>0.3333333333</v>
      </c>
      <c r="J6" s="20">
        <f t="shared" ref="J6:J89" si="11">IFERROR((IF(E6=V6,1,0) + IF(F6=W6,1,0) + IF(G6=X6,1,0)) / COUNTIFS(E6:G6, "&lt;&gt;X", E6:G6, "&lt;&gt;"), "XXX")</f>
        <v>0.5</v>
      </c>
      <c r="K6" s="16" t="s">
        <v>28</v>
      </c>
      <c r="L6" s="16" t="s">
        <v>29</v>
      </c>
      <c r="M6" s="16" t="s">
        <v>31</v>
      </c>
      <c r="N6" s="18">
        <f t="shared" ref="N6:N89" si="12">IF(K6="","",IF(K6=V6,1,0))+IF(L6="","",IF(L6=W6,1,0))+IF(M6="","",IF(M6=X6,1,0))</f>
        <v>2</v>
      </c>
      <c r="O6" s="19">
        <f t="shared" ref="O6:O7" si="13">IF(N6="","",N6/3)</f>
        <v>0.6666666667</v>
      </c>
      <c r="P6" s="20">
        <f t="shared" ref="P6:P89" si="14">IFERROR((IF(K6=V6,1,0) + IF(L6=W6,1,0) + IF(M6=X6,1,0)) / COUNTIFS(K6:M6, "&lt;&gt;X", K6:M6, "&lt;&gt;"), "XXX")</f>
        <v>0.6666666667</v>
      </c>
      <c r="Q6" s="6" t="s">
        <v>28</v>
      </c>
      <c r="R6" s="6" t="s">
        <v>29</v>
      </c>
      <c r="S6" s="6" t="s">
        <v>31</v>
      </c>
      <c r="T6" s="18">
        <f t="shared" ref="T6:T7" si="15">IF(Q6="","",IF(Q6=V6,1,0))+IF(R6="","",IF(R6=W6,1,0))+IF(S6="","",IF(S6=X6,1,0))</f>
        <v>2</v>
      </c>
      <c r="U6" s="23">
        <f t="shared" ref="U6:U7" si="16">IF(T6="","",T6/3)</f>
        <v>0.6666666667</v>
      </c>
      <c r="V6" s="12" t="s">
        <v>31</v>
      </c>
      <c r="W6" s="12" t="s">
        <v>29</v>
      </c>
      <c r="X6" s="12" t="s">
        <v>31</v>
      </c>
      <c r="Y6" s="13">
        <v>46130.0</v>
      </c>
      <c r="Z6" s="7" t="s">
        <v>52</v>
      </c>
      <c r="AA6" s="5"/>
      <c r="AB6" s="5"/>
    </row>
    <row r="7">
      <c r="A7" s="21">
        <v>622.0</v>
      </c>
      <c r="B7" s="6" t="s">
        <v>25</v>
      </c>
      <c r="C7" s="7" t="s">
        <v>26</v>
      </c>
      <c r="D7" s="21" t="s">
        <v>32</v>
      </c>
      <c r="E7" s="22" t="s">
        <v>31</v>
      </c>
      <c r="F7" s="22" t="s">
        <v>33</v>
      </c>
      <c r="G7" s="22" t="s">
        <v>29</v>
      </c>
      <c r="H7" s="18">
        <f t="shared" si="9"/>
        <v>3</v>
      </c>
      <c r="I7" s="23">
        <f t="shared" si="10"/>
        <v>1</v>
      </c>
      <c r="J7" s="20">
        <f t="shared" si="11"/>
        <v>1</v>
      </c>
      <c r="K7" s="22" t="s">
        <v>31</v>
      </c>
      <c r="L7" s="22" t="s">
        <v>33</v>
      </c>
      <c r="M7" s="22" t="s">
        <v>29</v>
      </c>
      <c r="N7" s="18">
        <f t="shared" si="12"/>
        <v>3</v>
      </c>
      <c r="O7" s="23">
        <f t="shared" si="13"/>
        <v>1</v>
      </c>
      <c r="P7" s="20">
        <f t="shared" si="14"/>
        <v>1</v>
      </c>
      <c r="Q7" s="6" t="s">
        <v>31</v>
      </c>
      <c r="R7" s="6" t="s">
        <v>33</v>
      </c>
      <c r="S7" s="6" t="s">
        <v>29</v>
      </c>
      <c r="T7" s="18">
        <f t="shared" si="15"/>
        <v>3</v>
      </c>
      <c r="U7" s="23">
        <f t="shared" si="16"/>
        <v>1</v>
      </c>
      <c r="V7" s="12" t="s">
        <v>31</v>
      </c>
      <c r="W7" s="12" t="s">
        <v>33</v>
      </c>
      <c r="X7" s="12" t="s">
        <v>29</v>
      </c>
      <c r="Y7" s="24">
        <v>46130.0</v>
      </c>
      <c r="Z7" s="5"/>
      <c r="AA7" s="5"/>
      <c r="AB7" s="5"/>
    </row>
    <row r="8">
      <c r="A8" s="21">
        <v>641.0</v>
      </c>
      <c r="B8" s="6" t="s">
        <v>25</v>
      </c>
      <c r="C8" s="7" t="s">
        <v>26</v>
      </c>
      <c r="D8" s="21" t="s">
        <v>34</v>
      </c>
      <c r="E8" s="16" t="s">
        <v>29</v>
      </c>
      <c r="F8" s="17" t="s">
        <v>30</v>
      </c>
      <c r="G8" s="17" t="s">
        <v>30</v>
      </c>
      <c r="H8" s="25">
        <f t="shared" ref="H8:H89" si="17">IF(E8="","",IF(E8=V8,1,0))+IF(F8="","",IF(F8=W8,1,0))+IF(G8="","",IF(G8=X8,1,0))</f>
        <v>0</v>
      </c>
      <c r="I8" s="26">
        <f t="shared" ref="I8:I89" si="18">IF(H8="","",H8/3)</f>
        <v>0</v>
      </c>
      <c r="J8" s="20">
        <f t="shared" si="11"/>
        <v>0</v>
      </c>
      <c r="K8" s="16" t="s">
        <v>29</v>
      </c>
      <c r="L8" s="17" t="s">
        <v>30</v>
      </c>
      <c r="M8" s="16" t="s">
        <v>33</v>
      </c>
      <c r="N8" s="18">
        <f t="shared" si="12"/>
        <v>1</v>
      </c>
      <c r="O8" s="26">
        <f t="shared" ref="O8:O89" si="19">IF(N8="","",N8/3)</f>
        <v>0.3333333333</v>
      </c>
      <c r="P8" s="20">
        <f t="shared" si="14"/>
        <v>0.5</v>
      </c>
      <c r="Q8" s="27" t="s">
        <v>29</v>
      </c>
      <c r="R8" s="27" t="s">
        <v>31</v>
      </c>
      <c r="S8" s="27" t="s">
        <v>33</v>
      </c>
      <c r="T8" s="25">
        <f t="shared" ref="T8:T89" si="20">IF(Q8="","",IF(Q8=V8,1,0))+IF(R8="","",IF(R8=W8,1,0))+IF(S8="","",IF(S8=X8,1,0))</f>
        <v>2</v>
      </c>
      <c r="U8" s="26">
        <f t="shared" ref="U8:U89" si="21">IF(T8="","",T8/3)</f>
        <v>0.6666666667</v>
      </c>
      <c r="V8" s="28" t="s">
        <v>31</v>
      </c>
      <c r="W8" s="28" t="s">
        <v>31</v>
      </c>
      <c r="X8" s="28" t="s">
        <v>33</v>
      </c>
      <c r="Y8" s="5"/>
      <c r="Z8" s="5"/>
      <c r="AA8" s="5"/>
      <c r="AB8" s="5"/>
    </row>
    <row r="9">
      <c r="A9" s="21">
        <v>681.0</v>
      </c>
      <c r="B9" s="6" t="s">
        <v>25</v>
      </c>
      <c r="C9" s="7" t="s">
        <v>26</v>
      </c>
      <c r="D9" s="21" t="s">
        <v>35</v>
      </c>
      <c r="E9" s="22" t="s">
        <v>31</v>
      </c>
      <c r="F9" s="22" t="s">
        <v>28</v>
      </c>
      <c r="G9" s="17" t="s">
        <v>30</v>
      </c>
      <c r="H9" s="25">
        <f t="shared" si="17"/>
        <v>2</v>
      </c>
      <c r="I9" s="26">
        <f t="shared" si="18"/>
        <v>0.6666666667</v>
      </c>
      <c r="J9" s="20">
        <f t="shared" si="11"/>
        <v>1</v>
      </c>
      <c r="K9" s="22" t="s">
        <v>29</v>
      </c>
      <c r="L9" s="22" t="s">
        <v>28</v>
      </c>
      <c r="M9" s="22" t="s">
        <v>29</v>
      </c>
      <c r="N9" s="18">
        <f t="shared" si="12"/>
        <v>1</v>
      </c>
      <c r="O9" s="26">
        <f t="shared" si="19"/>
        <v>0.3333333333</v>
      </c>
      <c r="P9" s="20">
        <f t="shared" si="14"/>
        <v>0.3333333333</v>
      </c>
      <c r="Q9" s="27" t="s">
        <v>31</v>
      </c>
      <c r="R9" s="27" t="s">
        <v>28</v>
      </c>
      <c r="S9" s="27" t="s">
        <v>29</v>
      </c>
      <c r="T9" s="25">
        <f t="shared" si="20"/>
        <v>2</v>
      </c>
      <c r="U9" s="26">
        <f t="shared" si="21"/>
        <v>0.6666666667</v>
      </c>
      <c r="V9" s="28" t="s">
        <v>31</v>
      </c>
      <c r="W9" s="28" t="s">
        <v>28</v>
      </c>
      <c r="X9" s="28" t="s">
        <v>33</v>
      </c>
      <c r="Y9" s="5"/>
      <c r="Z9" s="5"/>
      <c r="AA9" s="5"/>
      <c r="AB9" s="5"/>
    </row>
    <row r="10">
      <c r="A10" s="21">
        <v>692.0</v>
      </c>
      <c r="B10" s="6" t="s">
        <v>25</v>
      </c>
      <c r="C10" s="21" t="s">
        <v>36</v>
      </c>
      <c r="D10" s="21" t="s">
        <v>37</v>
      </c>
      <c r="E10" s="17" t="s">
        <v>30</v>
      </c>
      <c r="F10" s="17" t="s">
        <v>30</v>
      </c>
      <c r="G10" s="16" t="s">
        <v>31</v>
      </c>
      <c r="H10" s="25">
        <f t="shared" si="17"/>
        <v>0</v>
      </c>
      <c r="I10" s="26">
        <f t="shared" si="18"/>
        <v>0</v>
      </c>
      <c r="J10" s="20">
        <f t="shared" si="11"/>
        <v>0</v>
      </c>
      <c r="K10" s="16" t="s">
        <v>29</v>
      </c>
      <c r="L10" s="16" t="s">
        <v>33</v>
      </c>
      <c r="M10" s="16" t="s">
        <v>31</v>
      </c>
      <c r="N10" s="18">
        <f t="shared" si="12"/>
        <v>1</v>
      </c>
      <c r="O10" s="26">
        <f t="shared" si="19"/>
        <v>0.3333333333</v>
      </c>
      <c r="P10" s="20">
        <f t="shared" si="14"/>
        <v>0.3333333333</v>
      </c>
      <c r="Q10" s="27" t="s">
        <v>33</v>
      </c>
      <c r="R10" s="27" t="s">
        <v>28</v>
      </c>
      <c r="S10" s="27" t="s">
        <v>31</v>
      </c>
      <c r="T10" s="25">
        <f t="shared" si="20"/>
        <v>1</v>
      </c>
      <c r="U10" s="26">
        <f t="shared" si="21"/>
        <v>0.3333333333</v>
      </c>
      <c r="V10" s="28" t="s">
        <v>33</v>
      </c>
      <c r="W10" s="28" t="s">
        <v>33</v>
      </c>
      <c r="X10" s="28" t="s">
        <v>29</v>
      </c>
      <c r="Y10" s="5"/>
      <c r="Z10" s="5"/>
      <c r="AA10" s="5"/>
      <c r="AB10" s="5"/>
    </row>
    <row r="11">
      <c r="A11" s="21">
        <v>702.0</v>
      </c>
      <c r="B11" s="6" t="s">
        <v>25</v>
      </c>
      <c r="C11" s="21" t="s">
        <v>36</v>
      </c>
      <c r="D11" s="21" t="s">
        <v>38</v>
      </c>
      <c r="E11" s="17" t="s">
        <v>30</v>
      </c>
      <c r="F11" s="17" t="s">
        <v>30</v>
      </c>
      <c r="G11" s="17" t="s">
        <v>30</v>
      </c>
      <c r="H11" s="29">
        <f t="shared" si="17"/>
        <v>0</v>
      </c>
      <c r="I11" s="30">
        <f t="shared" si="18"/>
        <v>0</v>
      </c>
      <c r="J11" s="20" t="str">
        <f t="shared" si="11"/>
        <v>XXX</v>
      </c>
      <c r="K11" s="22" t="s">
        <v>29</v>
      </c>
      <c r="L11" s="22" t="s">
        <v>33</v>
      </c>
      <c r="M11" s="22" t="s">
        <v>29</v>
      </c>
      <c r="N11" s="18">
        <f t="shared" si="12"/>
        <v>2</v>
      </c>
      <c r="O11" s="30">
        <f t="shared" si="19"/>
        <v>0.6666666667</v>
      </c>
      <c r="P11" s="20">
        <f t="shared" si="14"/>
        <v>0.6666666667</v>
      </c>
      <c r="Q11" s="31" t="s">
        <v>29</v>
      </c>
      <c r="R11" s="31" t="s">
        <v>33</v>
      </c>
      <c r="S11" s="31" t="s">
        <v>29</v>
      </c>
      <c r="T11" s="29">
        <f t="shared" si="20"/>
        <v>2</v>
      </c>
      <c r="U11" s="30">
        <f t="shared" si="21"/>
        <v>0.6666666667</v>
      </c>
      <c r="V11" s="32" t="s">
        <v>29</v>
      </c>
      <c r="W11" s="32" t="s">
        <v>33</v>
      </c>
      <c r="X11" s="32" t="s">
        <v>28</v>
      </c>
      <c r="Y11" s="5"/>
      <c r="Z11" s="5"/>
      <c r="AA11" s="5"/>
      <c r="AB11" s="5"/>
    </row>
    <row r="12">
      <c r="A12" s="21">
        <v>711.0</v>
      </c>
      <c r="B12" s="6" t="s">
        <v>25</v>
      </c>
      <c r="C12" s="21" t="s">
        <v>36</v>
      </c>
      <c r="D12" s="21" t="s">
        <v>39</v>
      </c>
      <c r="E12" s="17" t="s">
        <v>30</v>
      </c>
      <c r="F12" s="17" t="s">
        <v>30</v>
      </c>
      <c r="G12" s="17" t="s">
        <v>30</v>
      </c>
      <c r="H12" s="29">
        <f t="shared" si="17"/>
        <v>0</v>
      </c>
      <c r="I12" s="30">
        <f t="shared" si="18"/>
        <v>0</v>
      </c>
      <c r="J12" s="20" t="str">
        <f t="shared" si="11"/>
        <v>XXX</v>
      </c>
      <c r="K12" s="16" t="s">
        <v>33</v>
      </c>
      <c r="L12" s="16" t="s">
        <v>33</v>
      </c>
      <c r="M12" s="16" t="s">
        <v>29</v>
      </c>
      <c r="N12" s="18">
        <f t="shared" si="12"/>
        <v>1</v>
      </c>
      <c r="O12" s="30">
        <f t="shared" si="19"/>
        <v>0.3333333333</v>
      </c>
      <c r="P12" s="20">
        <f t="shared" si="14"/>
        <v>0.3333333333</v>
      </c>
      <c r="Q12" s="31" t="s">
        <v>28</v>
      </c>
      <c r="R12" s="31" t="s">
        <v>31</v>
      </c>
      <c r="S12" s="31" t="s">
        <v>28</v>
      </c>
      <c r="T12" s="29">
        <f t="shared" si="20"/>
        <v>1</v>
      </c>
      <c r="U12" s="30">
        <f t="shared" si="21"/>
        <v>0.3333333333</v>
      </c>
      <c r="V12" s="32" t="s">
        <v>28</v>
      </c>
      <c r="W12" s="32" t="s">
        <v>28</v>
      </c>
      <c r="X12" s="32" t="s">
        <v>29</v>
      </c>
      <c r="Y12" s="5"/>
      <c r="Z12" s="5"/>
      <c r="AA12" s="5"/>
      <c r="AB12" s="5"/>
    </row>
    <row r="13">
      <c r="A13" s="21">
        <v>721.0</v>
      </c>
      <c r="B13" s="6" t="s">
        <v>25</v>
      </c>
      <c r="C13" s="21" t="s">
        <v>36</v>
      </c>
      <c r="D13" s="21" t="s">
        <v>40</v>
      </c>
      <c r="E13" s="22" t="s">
        <v>33</v>
      </c>
      <c r="F13" s="17" t="s">
        <v>30</v>
      </c>
      <c r="G13" s="17" t="s">
        <v>30</v>
      </c>
      <c r="H13" s="29">
        <f t="shared" si="17"/>
        <v>1</v>
      </c>
      <c r="I13" s="30">
        <f t="shared" si="18"/>
        <v>0.3333333333</v>
      </c>
      <c r="J13" s="20">
        <f t="shared" si="11"/>
        <v>1</v>
      </c>
      <c r="K13" s="22" t="s">
        <v>33</v>
      </c>
      <c r="L13" s="22" t="s">
        <v>29</v>
      </c>
      <c r="M13" s="22" t="s">
        <v>33</v>
      </c>
      <c r="N13" s="18">
        <f t="shared" si="12"/>
        <v>2</v>
      </c>
      <c r="O13" s="30">
        <f t="shared" si="19"/>
        <v>0.6666666667</v>
      </c>
      <c r="P13" s="20">
        <f t="shared" si="14"/>
        <v>0.6666666667</v>
      </c>
      <c r="Q13" s="31" t="s">
        <v>33</v>
      </c>
      <c r="R13" s="31" t="s">
        <v>29</v>
      </c>
      <c r="S13" s="31" t="s">
        <v>31</v>
      </c>
      <c r="T13" s="29">
        <f t="shared" si="20"/>
        <v>3</v>
      </c>
      <c r="U13" s="30">
        <f t="shared" si="21"/>
        <v>1</v>
      </c>
      <c r="V13" s="32" t="s">
        <v>33</v>
      </c>
      <c r="W13" s="32" t="s">
        <v>29</v>
      </c>
      <c r="X13" s="32" t="s">
        <v>31</v>
      </c>
      <c r="Y13" s="5"/>
      <c r="Z13" s="5"/>
      <c r="AA13" s="5"/>
      <c r="AB13" s="5"/>
    </row>
    <row r="14">
      <c r="A14" s="21">
        <v>821.0</v>
      </c>
      <c r="B14" s="6" t="s">
        <v>25</v>
      </c>
      <c r="C14" s="21" t="s">
        <v>41</v>
      </c>
      <c r="D14" s="21" t="s">
        <v>42</v>
      </c>
      <c r="E14" s="17" t="s">
        <v>30</v>
      </c>
      <c r="F14" s="17" t="s">
        <v>30</v>
      </c>
      <c r="G14" s="16" t="s">
        <v>31</v>
      </c>
      <c r="H14" s="29">
        <f t="shared" si="17"/>
        <v>1</v>
      </c>
      <c r="I14" s="30">
        <f t="shared" si="18"/>
        <v>0.3333333333</v>
      </c>
      <c r="J14" s="20">
        <f t="shared" si="11"/>
        <v>1</v>
      </c>
      <c r="K14" s="16" t="s">
        <v>33</v>
      </c>
      <c r="L14" s="16" t="s">
        <v>28</v>
      </c>
      <c r="M14" s="16" t="s">
        <v>31</v>
      </c>
      <c r="N14" s="18">
        <f t="shared" si="12"/>
        <v>3</v>
      </c>
      <c r="O14" s="30">
        <f t="shared" si="19"/>
        <v>1</v>
      </c>
      <c r="P14" s="20">
        <f t="shared" si="14"/>
        <v>1</v>
      </c>
      <c r="Q14" s="31" t="s">
        <v>28</v>
      </c>
      <c r="R14" s="31" t="s">
        <v>28</v>
      </c>
      <c r="S14" s="31" t="s">
        <v>33</v>
      </c>
      <c r="T14" s="29">
        <f t="shared" si="20"/>
        <v>1</v>
      </c>
      <c r="U14" s="30">
        <f t="shared" si="21"/>
        <v>0.3333333333</v>
      </c>
      <c r="V14" s="32" t="s">
        <v>33</v>
      </c>
      <c r="W14" s="32" t="s">
        <v>28</v>
      </c>
      <c r="X14" s="32" t="s">
        <v>31</v>
      </c>
      <c r="Y14" s="5"/>
      <c r="Z14" s="5"/>
      <c r="AA14" s="5"/>
      <c r="AB14" s="5"/>
    </row>
    <row r="15">
      <c r="A15" s="21">
        <v>831.0</v>
      </c>
      <c r="B15" s="6" t="s">
        <v>25</v>
      </c>
      <c r="C15" s="21" t="s">
        <v>41</v>
      </c>
      <c r="D15" s="21" t="s">
        <v>43</v>
      </c>
      <c r="E15" s="22" t="s">
        <v>31</v>
      </c>
      <c r="F15" s="17" t="s">
        <v>30</v>
      </c>
      <c r="G15" s="17" t="s">
        <v>30</v>
      </c>
      <c r="H15" s="29">
        <f t="shared" si="17"/>
        <v>0</v>
      </c>
      <c r="I15" s="30">
        <f t="shared" si="18"/>
        <v>0</v>
      </c>
      <c r="J15" s="20">
        <f t="shared" si="11"/>
        <v>0</v>
      </c>
      <c r="K15" s="22" t="s">
        <v>31</v>
      </c>
      <c r="L15" s="22" t="s">
        <v>29</v>
      </c>
      <c r="M15" s="22" t="s">
        <v>29</v>
      </c>
      <c r="N15" s="18">
        <f t="shared" si="12"/>
        <v>0</v>
      </c>
      <c r="O15" s="30">
        <f t="shared" si="19"/>
        <v>0</v>
      </c>
      <c r="P15" s="20">
        <f t="shared" si="14"/>
        <v>0</v>
      </c>
      <c r="Q15" s="31" t="s">
        <v>31</v>
      </c>
      <c r="R15" s="31" t="s">
        <v>29</v>
      </c>
      <c r="S15" s="31" t="s">
        <v>28</v>
      </c>
      <c r="T15" s="29">
        <f t="shared" si="20"/>
        <v>0</v>
      </c>
      <c r="U15" s="30">
        <f t="shared" si="21"/>
        <v>0</v>
      </c>
      <c r="V15" s="32" t="s">
        <v>28</v>
      </c>
      <c r="W15" s="32" t="s">
        <v>33</v>
      </c>
      <c r="X15" s="32" t="s">
        <v>31</v>
      </c>
      <c r="Y15" s="13">
        <v>46131.0</v>
      </c>
      <c r="Z15" s="5"/>
      <c r="AA15" s="5"/>
      <c r="AB15" s="5"/>
    </row>
    <row r="16">
      <c r="A16" s="21">
        <v>854.0</v>
      </c>
      <c r="B16" s="6" t="s">
        <v>25</v>
      </c>
      <c r="C16" s="21" t="s">
        <v>41</v>
      </c>
      <c r="D16" s="21" t="s">
        <v>44</v>
      </c>
      <c r="E16" s="16" t="s">
        <v>28</v>
      </c>
      <c r="F16" s="17" t="s">
        <v>30</v>
      </c>
      <c r="G16" s="17" t="s">
        <v>30</v>
      </c>
      <c r="H16" s="29">
        <f t="shared" si="17"/>
        <v>1</v>
      </c>
      <c r="I16" s="30">
        <f t="shared" si="18"/>
        <v>0.3333333333</v>
      </c>
      <c r="J16" s="20">
        <f t="shared" si="11"/>
        <v>1</v>
      </c>
      <c r="K16" s="16" t="s">
        <v>28</v>
      </c>
      <c r="L16" s="16" t="s">
        <v>28</v>
      </c>
      <c r="M16" s="16" t="s">
        <v>33</v>
      </c>
      <c r="N16" s="18">
        <f t="shared" si="12"/>
        <v>1</v>
      </c>
      <c r="O16" s="30">
        <f t="shared" si="19"/>
        <v>0.3333333333</v>
      </c>
      <c r="P16" s="20">
        <f t="shared" si="14"/>
        <v>0.3333333333</v>
      </c>
      <c r="Q16" s="31" t="s">
        <v>28</v>
      </c>
      <c r="R16" s="31" t="s">
        <v>31</v>
      </c>
      <c r="S16" s="31" t="s">
        <v>33</v>
      </c>
      <c r="T16" s="29">
        <f t="shared" si="20"/>
        <v>2</v>
      </c>
      <c r="U16" s="30">
        <f t="shared" si="21"/>
        <v>0.6666666667</v>
      </c>
      <c r="V16" s="32" t="s">
        <v>28</v>
      </c>
      <c r="W16" s="32" t="s">
        <v>31</v>
      </c>
      <c r="X16" s="32" t="s">
        <v>29</v>
      </c>
      <c r="Y16" s="24">
        <v>46131.0</v>
      </c>
      <c r="Z16" s="5"/>
      <c r="AA16" s="5"/>
      <c r="AB16" s="5"/>
    </row>
    <row r="17">
      <c r="A17" s="21">
        <v>861.0</v>
      </c>
      <c r="B17" s="6" t="s">
        <v>25</v>
      </c>
      <c r="C17" s="21" t="s">
        <v>41</v>
      </c>
      <c r="D17" s="21" t="s">
        <v>45</v>
      </c>
      <c r="E17" s="17" t="s">
        <v>30</v>
      </c>
      <c r="F17" s="17" t="s">
        <v>30</v>
      </c>
      <c r="G17" s="17" t="s">
        <v>30</v>
      </c>
      <c r="H17" s="29">
        <f t="shared" si="17"/>
        <v>0</v>
      </c>
      <c r="I17" s="30">
        <f t="shared" si="18"/>
        <v>0</v>
      </c>
      <c r="J17" s="20" t="str">
        <f t="shared" si="11"/>
        <v>XXX</v>
      </c>
      <c r="K17" s="22" t="s">
        <v>29</v>
      </c>
      <c r="L17" s="22" t="s">
        <v>33</v>
      </c>
      <c r="M17" s="22" t="s">
        <v>28</v>
      </c>
      <c r="N17" s="18">
        <f t="shared" si="12"/>
        <v>3</v>
      </c>
      <c r="O17" s="30">
        <f t="shared" si="19"/>
        <v>1</v>
      </c>
      <c r="P17" s="20">
        <f t="shared" si="14"/>
        <v>1</v>
      </c>
      <c r="Q17" s="31" t="s">
        <v>29</v>
      </c>
      <c r="R17" s="31" t="s">
        <v>28</v>
      </c>
      <c r="S17" s="31" t="s">
        <v>29</v>
      </c>
      <c r="T17" s="29">
        <f t="shared" si="20"/>
        <v>1</v>
      </c>
      <c r="U17" s="30">
        <f t="shared" si="21"/>
        <v>0.3333333333</v>
      </c>
      <c r="V17" s="32" t="s">
        <v>29</v>
      </c>
      <c r="W17" s="32" t="s">
        <v>33</v>
      </c>
      <c r="X17" s="32" t="s">
        <v>28</v>
      </c>
      <c r="Y17" s="13">
        <v>46131.0</v>
      </c>
      <c r="Z17" s="5"/>
      <c r="AA17" s="5"/>
      <c r="AB17" s="5"/>
    </row>
    <row r="18">
      <c r="A18" s="21">
        <v>301.0</v>
      </c>
      <c r="B18" s="21" t="s">
        <v>46</v>
      </c>
      <c r="C18" s="21" t="s">
        <v>26</v>
      </c>
      <c r="D18" s="21" t="s">
        <v>27</v>
      </c>
      <c r="E18" s="17" t="s">
        <v>30</v>
      </c>
      <c r="F18" s="16" t="s">
        <v>31</v>
      </c>
      <c r="G18" s="17" t="s">
        <v>30</v>
      </c>
      <c r="H18" s="29">
        <f t="shared" si="17"/>
        <v>1</v>
      </c>
      <c r="I18" s="30">
        <f t="shared" si="18"/>
        <v>0.3333333333</v>
      </c>
      <c r="J18" s="20">
        <f t="shared" si="11"/>
        <v>1</v>
      </c>
      <c r="K18" s="17" t="s">
        <v>30</v>
      </c>
      <c r="L18" s="16" t="s">
        <v>31</v>
      </c>
      <c r="M18" s="16" t="s">
        <v>29</v>
      </c>
      <c r="N18" s="18">
        <f t="shared" si="12"/>
        <v>2</v>
      </c>
      <c r="O18" s="30">
        <f t="shared" si="19"/>
        <v>0.6666666667</v>
      </c>
      <c r="P18" s="20">
        <f t="shared" si="14"/>
        <v>1</v>
      </c>
      <c r="Q18" s="31" t="s">
        <v>31</v>
      </c>
      <c r="R18" s="31" t="s">
        <v>31</v>
      </c>
      <c r="S18" s="31" t="s">
        <v>29</v>
      </c>
      <c r="T18" s="29">
        <f t="shared" si="20"/>
        <v>2</v>
      </c>
      <c r="U18" s="30">
        <f t="shared" si="21"/>
        <v>0.6666666667</v>
      </c>
      <c r="V18" s="32" t="s">
        <v>28</v>
      </c>
      <c r="W18" s="32" t="s">
        <v>31</v>
      </c>
      <c r="X18" s="32" t="s">
        <v>29</v>
      </c>
      <c r="Y18" s="13"/>
      <c r="Z18" s="5"/>
      <c r="AA18" s="5"/>
      <c r="AB18" s="5"/>
    </row>
    <row r="19">
      <c r="A19" s="21">
        <v>302.0</v>
      </c>
      <c r="B19" s="21" t="s">
        <v>46</v>
      </c>
      <c r="C19" s="21" t="s">
        <v>26</v>
      </c>
      <c r="D19" s="21" t="s">
        <v>27</v>
      </c>
      <c r="E19" s="17" t="s">
        <v>30</v>
      </c>
      <c r="F19" s="17" t="s">
        <v>30</v>
      </c>
      <c r="G19" s="17" t="s">
        <v>30</v>
      </c>
      <c r="H19" s="29">
        <f t="shared" si="17"/>
        <v>0</v>
      </c>
      <c r="I19" s="30">
        <f t="shared" si="18"/>
        <v>0</v>
      </c>
      <c r="J19" s="20" t="str">
        <f t="shared" si="11"/>
        <v>XXX</v>
      </c>
      <c r="K19" s="22" t="s">
        <v>28</v>
      </c>
      <c r="L19" s="22" t="s">
        <v>28</v>
      </c>
      <c r="M19" s="22" t="s">
        <v>28</v>
      </c>
      <c r="N19" s="18">
        <f t="shared" si="12"/>
        <v>3</v>
      </c>
      <c r="O19" s="30">
        <f t="shared" si="19"/>
        <v>1</v>
      </c>
      <c r="P19" s="20">
        <f t="shared" si="14"/>
        <v>1</v>
      </c>
      <c r="Q19" s="31" t="s">
        <v>28</v>
      </c>
      <c r="R19" s="31" t="s">
        <v>28</v>
      </c>
      <c r="S19" s="31" t="s">
        <v>29</v>
      </c>
      <c r="T19" s="29">
        <f t="shared" si="20"/>
        <v>2</v>
      </c>
      <c r="U19" s="30">
        <f t="shared" si="21"/>
        <v>0.6666666667</v>
      </c>
      <c r="V19" s="32" t="s">
        <v>28</v>
      </c>
      <c r="W19" s="32" t="s">
        <v>28</v>
      </c>
      <c r="X19" s="32" t="s">
        <v>28</v>
      </c>
      <c r="Y19" s="13"/>
      <c r="Z19" s="5"/>
      <c r="AA19" s="5"/>
      <c r="AB19" s="5"/>
    </row>
    <row r="20">
      <c r="A20" s="21">
        <v>303.0</v>
      </c>
      <c r="B20" s="21" t="s">
        <v>46</v>
      </c>
      <c r="C20" s="21" t="s">
        <v>26</v>
      </c>
      <c r="D20" s="21" t="s">
        <v>27</v>
      </c>
      <c r="E20" s="17" t="s">
        <v>30</v>
      </c>
      <c r="F20" s="16" t="s">
        <v>33</v>
      </c>
      <c r="G20" s="16" t="s">
        <v>33</v>
      </c>
      <c r="H20" s="29">
        <f t="shared" si="17"/>
        <v>1</v>
      </c>
      <c r="I20" s="30">
        <f t="shared" si="18"/>
        <v>0.3333333333</v>
      </c>
      <c r="J20" s="20">
        <f t="shared" si="11"/>
        <v>0.5</v>
      </c>
      <c r="K20" s="17" t="s">
        <v>30</v>
      </c>
      <c r="L20" s="16" t="s">
        <v>33</v>
      </c>
      <c r="M20" s="16" t="s">
        <v>33</v>
      </c>
      <c r="N20" s="18">
        <f t="shared" si="12"/>
        <v>1</v>
      </c>
      <c r="O20" s="30">
        <f t="shared" si="19"/>
        <v>0.3333333333</v>
      </c>
      <c r="P20" s="20">
        <f t="shared" si="14"/>
        <v>0.5</v>
      </c>
      <c r="Q20" s="31" t="s">
        <v>28</v>
      </c>
      <c r="R20" s="31" t="s">
        <v>33</v>
      </c>
      <c r="S20" s="31" t="s">
        <v>31</v>
      </c>
      <c r="T20" s="29">
        <f t="shared" si="20"/>
        <v>2</v>
      </c>
      <c r="U20" s="30">
        <f t="shared" si="21"/>
        <v>0.6666666667</v>
      </c>
      <c r="V20" s="32" t="s">
        <v>28</v>
      </c>
      <c r="W20" s="32" t="s">
        <v>33</v>
      </c>
      <c r="X20" s="32" t="s">
        <v>29</v>
      </c>
      <c r="Y20" s="13"/>
      <c r="Z20" s="5"/>
      <c r="AA20" s="5"/>
      <c r="AB20" s="5"/>
    </row>
    <row r="21">
      <c r="A21" s="21">
        <v>321.0</v>
      </c>
      <c r="B21" s="21" t="s">
        <v>46</v>
      </c>
      <c r="C21" s="21" t="s">
        <v>26</v>
      </c>
      <c r="D21" s="21" t="s">
        <v>32</v>
      </c>
      <c r="E21" s="17" t="s">
        <v>30</v>
      </c>
      <c r="F21" s="22" t="s">
        <v>31</v>
      </c>
      <c r="G21" s="22" t="s">
        <v>33</v>
      </c>
      <c r="H21" s="29">
        <f t="shared" si="17"/>
        <v>1</v>
      </c>
      <c r="I21" s="30">
        <f t="shared" si="18"/>
        <v>0.3333333333</v>
      </c>
      <c r="J21" s="20">
        <f t="shared" si="11"/>
        <v>0.5</v>
      </c>
      <c r="K21" s="22" t="s">
        <v>29</v>
      </c>
      <c r="L21" s="22" t="s">
        <v>31</v>
      </c>
      <c r="M21" s="22" t="s">
        <v>33</v>
      </c>
      <c r="N21" s="18">
        <f t="shared" si="12"/>
        <v>1</v>
      </c>
      <c r="O21" s="30">
        <f t="shared" si="19"/>
        <v>0.3333333333</v>
      </c>
      <c r="P21" s="20">
        <f t="shared" si="14"/>
        <v>0.3333333333</v>
      </c>
      <c r="Q21" s="31" t="s">
        <v>31</v>
      </c>
      <c r="R21" s="31" t="s">
        <v>33</v>
      </c>
      <c r="S21" s="31" t="s">
        <v>33</v>
      </c>
      <c r="T21" s="29">
        <f t="shared" si="20"/>
        <v>2</v>
      </c>
      <c r="U21" s="30">
        <f t="shared" si="21"/>
        <v>0.6666666667</v>
      </c>
      <c r="V21" s="32" t="s">
        <v>31</v>
      </c>
      <c r="W21" s="32" t="s">
        <v>29</v>
      </c>
      <c r="X21" s="32" t="s">
        <v>33</v>
      </c>
      <c r="Y21" s="13"/>
      <c r="Z21" s="5"/>
      <c r="AA21" s="5"/>
      <c r="AB21" s="5"/>
    </row>
    <row r="22">
      <c r="A22" s="21">
        <v>322.0</v>
      </c>
      <c r="B22" s="21" t="s">
        <v>46</v>
      </c>
      <c r="C22" s="21" t="s">
        <v>26</v>
      </c>
      <c r="D22" s="21" t="s">
        <v>32</v>
      </c>
      <c r="E22" s="16" t="s">
        <v>28</v>
      </c>
      <c r="F22" s="17" t="s">
        <v>30</v>
      </c>
      <c r="G22" s="17" t="s">
        <v>30</v>
      </c>
      <c r="H22" s="29">
        <f t="shared" si="17"/>
        <v>1</v>
      </c>
      <c r="I22" s="30">
        <f t="shared" si="18"/>
        <v>0.3333333333</v>
      </c>
      <c r="J22" s="20">
        <f t="shared" si="11"/>
        <v>1</v>
      </c>
      <c r="K22" s="16" t="s">
        <v>28</v>
      </c>
      <c r="L22" s="17" t="s">
        <v>30</v>
      </c>
      <c r="M22" s="16" t="s">
        <v>29</v>
      </c>
      <c r="N22" s="18">
        <f t="shared" si="12"/>
        <v>2</v>
      </c>
      <c r="O22" s="30">
        <f t="shared" si="19"/>
        <v>0.6666666667</v>
      </c>
      <c r="P22" s="20">
        <f t="shared" si="14"/>
        <v>1</v>
      </c>
      <c r="Q22" s="31" t="s">
        <v>28</v>
      </c>
      <c r="R22" s="31" t="s">
        <v>31</v>
      </c>
      <c r="S22" s="31" t="s">
        <v>31</v>
      </c>
      <c r="T22" s="29">
        <f t="shared" si="20"/>
        <v>2</v>
      </c>
      <c r="U22" s="30">
        <f t="shared" si="21"/>
        <v>0.6666666667</v>
      </c>
      <c r="V22" s="32" t="s">
        <v>28</v>
      </c>
      <c r="W22" s="32" t="s">
        <v>31</v>
      </c>
      <c r="X22" s="32" t="s">
        <v>29</v>
      </c>
      <c r="Y22" s="13"/>
      <c r="Z22" s="5"/>
      <c r="AA22" s="5"/>
      <c r="AB22" s="5"/>
    </row>
    <row r="23">
      <c r="A23" s="21">
        <v>323.0</v>
      </c>
      <c r="B23" s="21" t="s">
        <v>46</v>
      </c>
      <c r="C23" s="21" t="s">
        <v>26</v>
      </c>
      <c r="D23" s="21" t="s">
        <v>32</v>
      </c>
      <c r="E23" s="17" t="s">
        <v>30</v>
      </c>
      <c r="F23" s="17" t="s">
        <v>30</v>
      </c>
      <c r="G23" s="17" t="s">
        <v>30</v>
      </c>
      <c r="H23" s="29">
        <f t="shared" si="17"/>
        <v>0</v>
      </c>
      <c r="I23" s="30">
        <f t="shared" si="18"/>
        <v>0</v>
      </c>
      <c r="J23" s="20" t="str">
        <f t="shared" si="11"/>
        <v>XXX</v>
      </c>
      <c r="K23" s="22" t="s">
        <v>31</v>
      </c>
      <c r="L23" s="22" t="s">
        <v>31</v>
      </c>
      <c r="M23" s="22" t="s">
        <v>28</v>
      </c>
      <c r="N23" s="18">
        <f t="shared" si="12"/>
        <v>2</v>
      </c>
      <c r="O23" s="30">
        <f t="shared" si="19"/>
        <v>0.6666666667</v>
      </c>
      <c r="P23" s="20">
        <f t="shared" si="14"/>
        <v>0.6666666667</v>
      </c>
      <c r="Q23" s="31" t="s">
        <v>31</v>
      </c>
      <c r="R23" s="31" t="s">
        <v>33</v>
      </c>
      <c r="S23" s="31" t="s">
        <v>33</v>
      </c>
      <c r="T23" s="29">
        <f t="shared" si="20"/>
        <v>2</v>
      </c>
      <c r="U23" s="30">
        <f t="shared" si="21"/>
        <v>0.6666666667</v>
      </c>
      <c r="V23" s="32" t="s">
        <v>31</v>
      </c>
      <c r="W23" s="32" t="s">
        <v>33</v>
      </c>
      <c r="X23" s="32" t="s">
        <v>28</v>
      </c>
      <c r="Y23" s="13"/>
      <c r="Z23" s="5"/>
      <c r="AA23" s="5"/>
      <c r="AB23" s="5"/>
    </row>
    <row r="24">
      <c r="A24" s="21">
        <v>341.0</v>
      </c>
      <c r="B24" s="21" t="s">
        <v>46</v>
      </c>
      <c r="C24" s="21" t="s">
        <v>26</v>
      </c>
      <c r="D24" s="21" t="s">
        <v>34</v>
      </c>
      <c r="E24" s="16" t="s">
        <v>31</v>
      </c>
      <c r="F24" s="16" t="s">
        <v>28</v>
      </c>
      <c r="G24" s="17" t="s">
        <v>30</v>
      </c>
      <c r="H24" s="29">
        <f t="shared" si="17"/>
        <v>2</v>
      </c>
      <c r="I24" s="30">
        <f t="shared" si="18"/>
        <v>0.6666666667</v>
      </c>
      <c r="J24" s="20">
        <f t="shared" si="11"/>
        <v>1</v>
      </c>
      <c r="K24" s="16" t="s">
        <v>31</v>
      </c>
      <c r="L24" s="16" t="s">
        <v>28</v>
      </c>
      <c r="M24" s="16" t="s">
        <v>29</v>
      </c>
      <c r="N24" s="18">
        <f t="shared" si="12"/>
        <v>2</v>
      </c>
      <c r="O24" s="30">
        <f t="shared" si="19"/>
        <v>0.6666666667</v>
      </c>
      <c r="P24" s="20">
        <f t="shared" si="14"/>
        <v>0.6666666667</v>
      </c>
      <c r="Q24" s="31" t="s">
        <v>31</v>
      </c>
      <c r="R24" s="31" t="s">
        <v>28</v>
      </c>
      <c r="S24" s="31" t="s">
        <v>33</v>
      </c>
      <c r="T24" s="29">
        <f t="shared" si="20"/>
        <v>3</v>
      </c>
      <c r="U24" s="30">
        <f t="shared" si="21"/>
        <v>1</v>
      </c>
      <c r="V24" s="32" t="s">
        <v>31</v>
      </c>
      <c r="W24" s="32" t="s">
        <v>28</v>
      </c>
      <c r="X24" s="32" t="s">
        <v>33</v>
      </c>
      <c r="Y24" s="24">
        <v>46131.0</v>
      </c>
      <c r="Z24" s="5"/>
      <c r="AA24" s="5"/>
      <c r="AB24" s="5"/>
    </row>
    <row r="25" ht="15.75" customHeight="1">
      <c r="A25" s="21">
        <v>343.0</v>
      </c>
      <c r="B25" s="21" t="s">
        <v>46</v>
      </c>
      <c r="C25" s="21" t="s">
        <v>26</v>
      </c>
      <c r="D25" s="21" t="s">
        <v>34</v>
      </c>
      <c r="E25" s="17" t="s">
        <v>30</v>
      </c>
      <c r="F25" s="17" t="s">
        <v>30</v>
      </c>
      <c r="G25" s="17" t="s">
        <v>30</v>
      </c>
      <c r="H25" s="29">
        <f t="shared" si="17"/>
        <v>0</v>
      </c>
      <c r="I25" s="30">
        <f t="shared" si="18"/>
        <v>0</v>
      </c>
      <c r="J25" s="20" t="str">
        <f t="shared" si="11"/>
        <v>XXX</v>
      </c>
      <c r="K25" s="22" t="s">
        <v>33</v>
      </c>
      <c r="L25" s="22" t="s">
        <v>29</v>
      </c>
      <c r="M25" s="22" t="s">
        <v>31</v>
      </c>
      <c r="N25" s="18">
        <f t="shared" si="12"/>
        <v>2</v>
      </c>
      <c r="O25" s="30">
        <f t="shared" si="19"/>
        <v>0.6666666667</v>
      </c>
      <c r="P25" s="20">
        <f t="shared" si="14"/>
        <v>0.6666666667</v>
      </c>
      <c r="Q25" s="31" t="s">
        <v>28</v>
      </c>
      <c r="R25" s="31" t="s">
        <v>28</v>
      </c>
      <c r="S25" s="31" t="s">
        <v>33</v>
      </c>
      <c r="T25" s="29">
        <f t="shared" si="20"/>
        <v>1</v>
      </c>
      <c r="U25" s="30">
        <f t="shared" si="21"/>
        <v>0.3333333333</v>
      </c>
      <c r="V25" s="32" t="s">
        <v>33</v>
      </c>
      <c r="W25" s="32" t="s">
        <v>28</v>
      </c>
      <c r="X25" s="32" t="s">
        <v>31</v>
      </c>
      <c r="Y25" s="13">
        <v>46131.0</v>
      </c>
      <c r="Z25" s="5"/>
      <c r="AA25" s="5"/>
      <c r="AB25" s="5"/>
    </row>
    <row r="26" ht="15.75" customHeight="1">
      <c r="A26" s="21">
        <v>344.0</v>
      </c>
      <c r="B26" s="21" t="s">
        <v>46</v>
      </c>
      <c r="C26" s="21" t="s">
        <v>26</v>
      </c>
      <c r="D26" s="21" t="s">
        <v>34</v>
      </c>
      <c r="E26" s="17" t="s">
        <v>30</v>
      </c>
      <c r="F26" s="17" t="s">
        <v>30</v>
      </c>
      <c r="G26" s="17" t="s">
        <v>30</v>
      </c>
      <c r="H26" s="29">
        <f t="shared" si="17"/>
        <v>0</v>
      </c>
      <c r="I26" s="30">
        <f t="shared" si="18"/>
        <v>0</v>
      </c>
      <c r="J26" s="20" t="str">
        <f t="shared" si="11"/>
        <v>XXX</v>
      </c>
      <c r="K26" s="16" t="s">
        <v>28</v>
      </c>
      <c r="L26" s="16" t="s">
        <v>33</v>
      </c>
      <c r="M26" s="16" t="s">
        <v>33</v>
      </c>
      <c r="N26" s="18">
        <f t="shared" si="12"/>
        <v>2</v>
      </c>
      <c r="O26" s="30">
        <f t="shared" si="19"/>
        <v>0.6666666667</v>
      </c>
      <c r="P26" s="20">
        <f t="shared" si="14"/>
        <v>0.6666666667</v>
      </c>
      <c r="Q26" s="31" t="s">
        <v>28</v>
      </c>
      <c r="R26" s="31" t="s">
        <v>29</v>
      </c>
      <c r="S26" s="31" t="s">
        <v>33</v>
      </c>
      <c r="T26" s="29">
        <f t="shared" si="20"/>
        <v>3</v>
      </c>
      <c r="U26" s="30">
        <f t="shared" si="21"/>
        <v>1</v>
      </c>
      <c r="V26" s="32" t="s">
        <v>28</v>
      </c>
      <c r="W26" s="32" t="s">
        <v>29</v>
      </c>
      <c r="X26" s="32" t="s">
        <v>33</v>
      </c>
      <c r="Y26" s="24">
        <v>46131.0</v>
      </c>
      <c r="Z26" s="5"/>
      <c r="AA26" s="5"/>
      <c r="AB26" s="5"/>
    </row>
    <row r="27" ht="15.75" customHeight="1">
      <c r="A27" s="21">
        <v>381.0</v>
      </c>
      <c r="B27" s="21" t="s">
        <v>46</v>
      </c>
      <c r="C27" s="21" t="s">
        <v>26</v>
      </c>
      <c r="D27" s="21" t="s">
        <v>35</v>
      </c>
      <c r="E27" s="17" t="s">
        <v>30</v>
      </c>
      <c r="F27" s="22" t="s">
        <v>33</v>
      </c>
      <c r="G27" s="17" t="s">
        <v>30</v>
      </c>
      <c r="H27" s="29">
        <f t="shared" si="17"/>
        <v>1</v>
      </c>
      <c r="I27" s="30">
        <f t="shared" si="18"/>
        <v>0.3333333333</v>
      </c>
      <c r="J27" s="20">
        <f t="shared" si="11"/>
        <v>1</v>
      </c>
      <c r="K27" s="17" t="s">
        <v>30</v>
      </c>
      <c r="L27" s="22" t="s">
        <v>33</v>
      </c>
      <c r="M27" s="22" t="s">
        <v>31</v>
      </c>
      <c r="N27" s="18">
        <f t="shared" si="12"/>
        <v>1</v>
      </c>
      <c r="O27" s="30">
        <f t="shared" si="19"/>
        <v>0.3333333333</v>
      </c>
      <c r="P27" s="20">
        <f t="shared" si="14"/>
        <v>0.5</v>
      </c>
      <c r="Q27" s="31" t="s">
        <v>28</v>
      </c>
      <c r="R27" s="31" t="s">
        <v>33</v>
      </c>
      <c r="S27" s="31" t="s">
        <v>31</v>
      </c>
      <c r="T27" s="29">
        <f t="shared" si="20"/>
        <v>1</v>
      </c>
      <c r="U27" s="30">
        <f t="shared" si="21"/>
        <v>0.3333333333</v>
      </c>
      <c r="V27" s="32" t="s">
        <v>29</v>
      </c>
      <c r="W27" s="32" t="s">
        <v>33</v>
      </c>
      <c r="X27" s="32" t="s">
        <v>33</v>
      </c>
      <c r="Y27" s="13">
        <v>46131.0</v>
      </c>
      <c r="Z27" s="5"/>
      <c r="AA27" s="5"/>
      <c r="AB27" s="5"/>
    </row>
    <row r="28" ht="15.75" customHeight="1">
      <c r="A28" s="21">
        <v>382.0</v>
      </c>
      <c r="B28" s="21" t="s">
        <v>46</v>
      </c>
      <c r="C28" s="21" t="s">
        <v>26</v>
      </c>
      <c r="D28" s="21" t="s">
        <v>35</v>
      </c>
      <c r="E28" s="17" t="s">
        <v>30</v>
      </c>
      <c r="F28" s="16" t="s">
        <v>28</v>
      </c>
      <c r="G28" s="17" t="s">
        <v>30</v>
      </c>
      <c r="H28" s="29">
        <f t="shared" si="17"/>
        <v>0</v>
      </c>
      <c r="I28" s="30">
        <f t="shared" si="18"/>
        <v>0</v>
      </c>
      <c r="J28" s="20">
        <f t="shared" si="11"/>
        <v>0</v>
      </c>
      <c r="K28" s="16" t="s">
        <v>29</v>
      </c>
      <c r="L28" s="16" t="s">
        <v>28</v>
      </c>
      <c r="M28" s="16" t="s">
        <v>33</v>
      </c>
      <c r="N28" s="18">
        <f t="shared" si="12"/>
        <v>1</v>
      </c>
      <c r="O28" s="30">
        <f t="shared" si="19"/>
        <v>0.3333333333</v>
      </c>
      <c r="P28" s="20">
        <f t="shared" si="14"/>
        <v>0.3333333333</v>
      </c>
      <c r="Q28" s="31" t="s">
        <v>29</v>
      </c>
      <c r="R28" s="31" t="s">
        <v>28</v>
      </c>
      <c r="S28" s="31" t="s">
        <v>28</v>
      </c>
      <c r="T28" s="29">
        <f t="shared" si="20"/>
        <v>1</v>
      </c>
      <c r="U28" s="30">
        <f t="shared" si="21"/>
        <v>0.3333333333</v>
      </c>
      <c r="V28" s="32" t="s">
        <v>29</v>
      </c>
      <c r="W28" s="32" t="s">
        <v>29</v>
      </c>
      <c r="X28" s="32" t="s">
        <v>29</v>
      </c>
      <c r="Y28" s="24">
        <v>46131.0</v>
      </c>
      <c r="Z28" s="5"/>
      <c r="AA28" s="5"/>
      <c r="AB28" s="5"/>
    </row>
    <row r="29" ht="15.75" customHeight="1">
      <c r="A29" s="21">
        <v>383.0</v>
      </c>
      <c r="B29" s="21" t="s">
        <v>46</v>
      </c>
      <c r="C29" s="21" t="s">
        <v>26</v>
      </c>
      <c r="D29" s="21" t="s">
        <v>35</v>
      </c>
      <c r="E29" s="17" t="s">
        <v>30</v>
      </c>
      <c r="F29" s="17" t="s">
        <v>30</v>
      </c>
      <c r="G29" s="22" t="s">
        <v>33</v>
      </c>
      <c r="H29" s="29">
        <f t="shared" si="17"/>
        <v>1</v>
      </c>
      <c r="I29" s="30">
        <f t="shared" si="18"/>
        <v>0.3333333333</v>
      </c>
      <c r="J29" s="20">
        <f t="shared" si="11"/>
        <v>1</v>
      </c>
      <c r="K29" s="22" t="s">
        <v>31</v>
      </c>
      <c r="L29" s="22" t="s">
        <v>29</v>
      </c>
      <c r="M29" s="22" t="s">
        <v>33</v>
      </c>
      <c r="N29" s="18">
        <f t="shared" si="12"/>
        <v>1</v>
      </c>
      <c r="O29" s="30">
        <f t="shared" si="19"/>
        <v>0.3333333333</v>
      </c>
      <c r="P29" s="20">
        <f t="shared" si="14"/>
        <v>0.3333333333</v>
      </c>
      <c r="Q29" s="31" t="s">
        <v>33</v>
      </c>
      <c r="R29" s="31" t="s">
        <v>29</v>
      </c>
      <c r="S29" s="31" t="s">
        <v>33</v>
      </c>
      <c r="T29" s="29">
        <f t="shared" si="20"/>
        <v>2</v>
      </c>
      <c r="U29" s="30">
        <f t="shared" si="21"/>
        <v>0.6666666667</v>
      </c>
      <c r="V29" s="32" t="s">
        <v>33</v>
      </c>
      <c r="W29" s="32" t="s">
        <v>33</v>
      </c>
      <c r="X29" s="32" t="s">
        <v>33</v>
      </c>
      <c r="Y29" s="13">
        <v>46131.0</v>
      </c>
      <c r="Z29" s="5"/>
      <c r="AA29" s="5"/>
      <c r="AB29" s="5"/>
    </row>
    <row r="30" ht="15.75" customHeight="1">
      <c r="A30" s="21">
        <v>391.0</v>
      </c>
      <c r="B30" s="21" t="s">
        <v>46</v>
      </c>
      <c r="C30" s="21" t="s">
        <v>36</v>
      </c>
      <c r="D30" s="21" t="s">
        <v>37</v>
      </c>
      <c r="E30" s="17" t="s">
        <v>30</v>
      </c>
      <c r="F30" s="17" t="s">
        <v>30</v>
      </c>
      <c r="G30" s="17" t="s">
        <v>30</v>
      </c>
      <c r="H30" s="29">
        <f t="shared" si="17"/>
        <v>0</v>
      </c>
      <c r="I30" s="30">
        <f t="shared" si="18"/>
        <v>0</v>
      </c>
      <c r="J30" s="20" t="str">
        <f t="shared" si="11"/>
        <v>XXX</v>
      </c>
      <c r="K30" s="16" t="s">
        <v>29</v>
      </c>
      <c r="L30" s="16" t="s">
        <v>33</v>
      </c>
      <c r="M30" s="16" t="s">
        <v>33</v>
      </c>
      <c r="N30" s="18">
        <f t="shared" si="12"/>
        <v>2</v>
      </c>
      <c r="O30" s="30">
        <f t="shared" si="19"/>
        <v>0.6666666667</v>
      </c>
      <c r="P30" s="20">
        <f t="shared" si="14"/>
        <v>0.6666666667</v>
      </c>
      <c r="Q30" s="31" t="s">
        <v>29</v>
      </c>
      <c r="R30" s="31" t="s">
        <v>28</v>
      </c>
      <c r="S30" s="31" t="s">
        <v>33</v>
      </c>
      <c r="T30" s="29">
        <f t="shared" si="20"/>
        <v>3</v>
      </c>
      <c r="U30" s="30">
        <f t="shared" si="21"/>
        <v>1</v>
      </c>
      <c r="V30" s="32" t="s">
        <v>29</v>
      </c>
      <c r="W30" s="32" t="s">
        <v>28</v>
      </c>
      <c r="X30" s="32" t="s">
        <v>33</v>
      </c>
      <c r="Y30" s="24">
        <v>46131.0</v>
      </c>
      <c r="Z30" s="5"/>
      <c r="AA30" s="5"/>
      <c r="AB30" s="5"/>
    </row>
    <row r="31" ht="15.75" customHeight="1">
      <c r="A31" s="21">
        <v>392.0</v>
      </c>
      <c r="B31" s="21" t="s">
        <v>46</v>
      </c>
      <c r="C31" s="21" t="s">
        <v>36</v>
      </c>
      <c r="D31" s="21" t="s">
        <v>37</v>
      </c>
      <c r="E31" s="17" t="s">
        <v>30</v>
      </c>
      <c r="F31" s="17" t="s">
        <v>30</v>
      </c>
      <c r="G31" s="17" t="s">
        <v>30</v>
      </c>
      <c r="H31" s="29">
        <f t="shared" si="17"/>
        <v>0</v>
      </c>
      <c r="I31" s="30">
        <f t="shared" si="18"/>
        <v>0</v>
      </c>
      <c r="J31" s="20" t="str">
        <f t="shared" si="11"/>
        <v>XXX</v>
      </c>
      <c r="K31" s="22" t="s">
        <v>29</v>
      </c>
      <c r="L31" s="22" t="s">
        <v>29</v>
      </c>
      <c r="M31" s="22" t="s">
        <v>29</v>
      </c>
      <c r="N31" s="18">
        <f t="shared" si="12"/>
        <v>2</v>
      </c>
      <c r="O31" s="30">
        <f t="shared" si="19"/>
        <v>0.6666666667</v>
      </c>
      <c r="P31" s="20">
        <f t="shared" si="14"/>
        <v>0.6666666667</v>
      </c>
      <c r="Q31" s="31" t="s">
        <v>31</v>
      </c>
      <c r="R31" s="31" t="s">
        <v>29</v>
      </c>
      <c r="S31" s="31" t="s">
        <v>53</v>
      </c>
      <c r="T31" s="29">
        <f t="shared" si="20"/>
        <v>2</v>
      </c>
      <c r="U31" s="30">
        <f t="shared" si="21"/>
        <v>0.6666666667</v>
      </c>
      <c r="V31" s="32" t="s">
        <v>31</v>
      </c>
      <c r="W31" s="32" t="s">
        <v>29</v>
      </c>
      <c r="X31" s="32" t="s">
        <v>29</v>
      </c>
      <c r="Y31" s="13">
        <v>46131.0</v>
      </c>
      <c r="Z31" s="5"/>
      <c r="AA31" s="5"/>
      <c r="AB31" s="5"/>
    </row>
    <row r="32" ht="15.75" customHeight="1">
      <c r="A32" s="33">
        <v>393.0</v>
      </c>
      <c r="B32" s="21" t="s">
        <v>46</v>
      </c>
      <c r="C32" s="21" t="s">
        <v>36</v>
      </c>
      <c r="D32" s="21" t="s">
        <v>37</v>
      </c>
      <c r="E32" s="17" t="s">
        <v>30</v>
      </c>
      <c r="F32" s="17" t="s">
        <v>30</v>
      </c>
      <c r="G32" s="17" t="s">
        <v>30</v>
      </c>
      <c r="H32" s="29">
        <f t="shared" si="17"/>
        <v>0</v>
      </c>
      <c r="I32" s="30">
        <f t="shared" si="18"/>
        <v>0</v>
      </c>
      <c r="J32" s="20" t="str">
        <f t="shared" si="11"/>
        <v>XXX</v>
      </c>
      <c r="K32" s="16" t="s">
        <v>29</v>
      </c>
      <c r="L32" s="16" t="s">
        <v>29</v>
      </c>
      <c r="M32" s="16" t="s">
        <v>33</v>
      </c>
      <c r="N32" s="18">
        <f t="shared" si="12"/>
        <v>0</v>
      </c>
      <c r="O32" s="30">
        <f t="shared" si="19"/>
        <v>0</v>
      </c>
      <c r="P32" s="20">
        <f t="shared" si="14"/>
        <v>0</v>
      </c>
      <c r="Q32" s="31" t="s">
        <v>33</v>
      </c>
      <c r="R32" s="31" t="s">
        <v>28</v>
      </c>
      <c r="S32" s="31" t="s">
        <v>53</v>
      </c>
      <c r="T32" s="29">
        <f t="shared" si="20"/>
        <v>2</v>
      </c>
      <c r="U32" s="30">
        <f t="shared" si="21"/>
        <v>0.6666666667</v>
      </c>
      <c r="V32" s="32" t="s">
        <v>33</v>
      </c>
      <c r="W32" s="32" t="s">
        <v>28</v>
      </c>
      <c r="X32" s="32" t="s">
        <v>31</v>
      </c>
      <c r="Y32" s="24">
        <v>46131.0</v>
      </c>
      <c r="Z32" s="5"/>
      <c r="AA32" s="5"/>
      <c r="AB32" s="5"/>
    </row>
    <row r="33" ht="15.75" customHeight="1">
      <c r="A33" s="21">
        <v>402.0</v>
      </c>
      <c r="B33" s="21" t="s">
        <v>46</v>
      </c>
      <c r="C33" s="21" t="s">
        <v>36</v>
      </c>
      <c r="D33" s="21" t="s">
        <v>38</v>
      </c>
      <c r="E33" s="17" t="s">
        <v>30</v>
      </c>
      <c r="F33" s="17" t="s">
        <v>30</v>
      </c>
      <c r="G33" s="22" t="s">
        <v>33</v>
      </c>
      <c r="H33" s="29">
        <f t="shared" si="17"/>
        <v>1</v>
      </c>
      <c r="I33" s="30">
        <f t="shared" si="18"/>
        <v>0.3333333333</v>
      </c>
      <c r="J33" s="20">
        <f t="shared" si="11"/>
        <v>1</v>
      </c>
      <c r="K33" s="22" t="s">
        <v>33</v>
      </c>
      <c r="L33" s="22" t="s">
        <v>29</v>
      </c>
      <c r="M33" s="22" t="s">
        <v>33</v>
      </c>
      <c r="N33" s="18">
        <f t="shared" si="12"/>
        <v>2</v>
      </c>
      <c r="O33" s="30">
        <f t="shared" si="19"/>
        <v>0.6666666667</v>
      </c>
      <c r="P33" s="20">
        <f t="shared" si="14"/>
        <v>0.6666666667</v>
      </c>
      <c r="Q33" s="31" t="s">
        <v>33</v>
      </c>
      <c r="R33" s="31" t="s">
        <v>29</v>
      </c>
      <c r="S33" s="31" t="s">
        <v>33</v>
      </c>
      <c r="T33" s="29">
        <f t="shared" si="20"/>
        <v>2</v>
      </c>
      <c r="U33" s="30">
        <f t="shared" si="21"/>
        <v>0.6666666667</v>
      </c>
      <c r="V33" s="32" t="s">
        <v>31</v>
      </c>
      <c r="W33" s="32" t="s">
        <v>29</v>
      </c>
      <c r="X33" s="32" t="s">
        <v>33</v>
      </c>
      <c r="Y33" s="13">
        <v>46131.0</v>
      </c>
      <c r="Z33" s="5"/>
      <c r="AA33" s="5"/>
      <c r="AB33" s="5"/>
    </row>
    <row r="34" ht="15.75" customHeight="1">
      <c r="A34" s="21">
        <v>403.0</v>
      </c>
      <c r="B34" s="21" t="s">
        <v>46</v>
      </c>
      <c r="C34" s="21" t="s">
        <v>36</v>
      </c>
      <c r="D34" s="21" t="s">
        <v>38</v>
      </c>
      <c r="E34" s="16" t="s">
        <v>28</v>
      </c>
      <c r="F34" s="17" t="s">
        <v>30</v>
      </c>
      <c r="G34" s="17" t="s">
        <v>30</v>
      </c>
      <c r="H34" s="29">
        <f t="shared" si="17"/>
        <v>1</v>
      </c>
      <c r="I34" s="30">
        <f t="shared" si="18"/>
        <v>0.3333333333</v>
      </c>
      <c r="J34" s="20">
        <f t="shared" si="11"/>
        <v>1</v>
      </c>
      <c r="K34" s="16" t="s">
        <v>28</v>
      </c>
      <c r="L34" s="16" t="s">
        <v>29</v>
      </c>
      <c r="M34" s="16" t="s">
        <v>33</v>
      </c>
      <c r="N34" s="18">
        <f t="shared" si="12"/>
        <v>3</v>
      </c>
      <c r="O34" s="30">
        <f t="shared" si="19"/>
        <v>1</v>
      </c>
      <c r="P34" s="20">
        <f t="shared" si="14"/>
        <v>1</v>
      </c>
      <c r="Q34" s="31" t="s">
        <v>28</v>
      </c>
      <c r="R34" s="31" t="s">
        <v>29</v>
      </c>
      <c r="S34" s="31" t="s">
        <v>33</v>
      </c>
      <c r="T34" s="29">
        <f t="shared" si="20"/>
        <v>3</v>
      </c>
      <c r="U34" s="30">
        <f t="shared" si="21"/>
        <v>1</v>
      </c>
      <c r="V34" s="32" t="s">
        <v>28</v>
      </c>
      <c r="W34" s="32" t="s">
        <v>29</v>
      </c>
      <c r="X34" s="32" t="s">
        <v>33</v>
      </c>
      <c r="Y34" s="24">
        <v>46131.0</v>
      </c>
      <c r="Z34" s="5"/>
      <c r="AA34" s="5"/>
      <c r="AB34" s="5"/>
    </row>
    <row r="35" ht="15.75" customHeight="1">
      <c r="A35" s="21">
        <v>404.0</v>
      </c>
      <c r="B35" s="21" t="s">
        <v>46</v>
      </c>
      <c r="C35" s="21" t="s">
        <v>36</v>
      </c>
      <c r="D35" s="21" t="s">
        <v>38</v>
      </c>
      <c r="E35" s="22" t="s">
        <v>31</v>
      </c>
      <c r="F35" s="17" t="s">
        <v>30</v>
      </c>
      <c r="G35" s="17" t="s">
        <v>30</v>
      </c>
      <c r="H35" s="29">
        <f t="shared" si="17"/>
        <v>1</v>
      </c>
      <c r="I35" s="30">
        <f t="shared" si="18"/>
        <v>0.3333333333</v>
      </c>
      <c r="J35" s="20">
        <f t="shared" si="11"/>
        <v>1</v>
      </c>
      <c r="K35" s="22" t="s">
        <v>31</v>
      </c>
      <c r="L35" s="22" t="s">
        <v>33</v>
      </c>
      <c r="M35" s="22" t="s">
        <v>29</v>
      </c>
      <c r="N35" s="18">
        <f t="shared" si="12"/>
        <v>2</v>
      </c>
      <c r="O35" s="30">
        <f t="shared" si="19"/>
        <v>0.6666666667</v>
      </c>
      <c r="P35" s="20">
        <f t="shared" si="14"/>
        <v>0.6666666667</v>
      </c>
      <c r="Q35" s="31" t="s">
        <v>31</v>
      </c>
      <c r="R35" s="31" t="s">
        <v>33</v>
      </c>
      <c r="S35" s="31" t="s">
        <v>29</v>
      </c>
      <c r="T35" s="29">
        <f t="shared" si="20"/>
        <v>2</v>
      </c>
      <c r="U35" s="30">
        <f t="shared" si="21"/>
        <v>0.6666666667</v>
      </c>
      <c r="V35" s="32" t="s">
        <v>31</v>
      </c>
      <c r="W35" s="32" t="s">
        <v>33</v>
      </c>
      <c r="X35" s="32" t="s">
        <v>31</v>
      </c>
      <c r="Y35" s="13">
        <v>46131.0</v>
      </c>
      <c r="Z35" s="5"/>
      <c r="AA35" s="5"/>
      <c r="AB35" s="5"/>
    </row>
    <row r="36" ht="15.75" customHeight="1">
      <c r="A36" s="21">
        <v>411.0</v>
      </c>
      <c r="B36" s="21" t="s">
        <v>46</v>
      </c>
      <c r="C36" s="21" t="s">
        <v>36</v>
      </c>
      <c r="D36" s="21" t="s">
        <v>47</v>
      </c>
      <c r="E36" s="16" t="s">
        <v>29</v>
      </c>
      <c r="F36" s="16" t="s">
        <v>28</v>
      </c>
      <c r="G36" s="16" t="s">
        <v>31</v>
      </c>
      <c r="H36" s="29">
        <f t="shared" si="17"/>
        <v>3</v>
      </c>
      <c r="I36" s="30">
        <f t="shared" si="18"/>
        <v>1</v>
      </c>
      <c r="J36" s="20">
        <f t="shared" si="11"/>
        <v>1</v>
      </c>
      <c r="K36" s="16" t="s">
        <v>29</v>
      </c>
      <c r="L36" s="16" t="s">
        <v>28</v>
      </c>
      <c r="M36" s="16" t="s">
        <v>31</v>
      </c>
      <c r="N36" s="18">
        <f t="shared" si="12"/>
        <v>3</v>
      </c>
      <c r="O36" s="30">
        <f t="shared" si="19"/>
        <v>1</v>
      </c>
      <c r="P36" s="20">
        <f t="shared" si="14"/>
        <v>1</v>
      </c>
      <c r="Q36" s="31" t="s">
        <v>29</v>
      </c>
      <c r="R36" s="31" t="s">
        <v>28</v>
      </c>
      <c r="S36" s="31" t="s">
        <v>28</v>
      </c>
      <c r="T36" s="29">
        <f t="shared" si="20"/>
        <v>2</v>
      </c>
      <c r="U36" s="30">
        <f t="shared" si="21"/>
        <v>0.6666666667</v>
      </c>
      <c r="V36" s="32" t="s">
        <v>29</v>
      </c>
      <c r="W36" s="32" t="s">
        <v>28</v>
      </c>
      <c r="X36" s="32" t="s">
        <v>31</v>
      </c>
      <c r="Y36" s="24">
        <v>46131.0</v>
      </c>
      <c r="Z36" s="5"/>
      <c r="AA36" s="5"/>
      <c r="AB36" s="5"/>
    </row>
    <row r="37" ht="15.75" customHeight="1">
      <c r="A37" s="21">
        <v>412.0</v>
      </c>
      <c r="B37" s="21" t="s">
        <v>46</v>
      </c>
      <c r="C37" s="21" t="s">
        <v>36</v>
      </c>
      <c r="D37" s="21" t="s">
        <v>47</v>
      </c>
      <c r="E37" s="22" t="s">
        <v>31</v>
      </c>
      <c r="F37" s="17" t="s">
        <v>30</v>
      </c>
      <c r="G37" s="22" t="s">
        <v>28</v>
      </c>
      <c r="H37" s="29">
        <f t="shared" si="17"/>
        <v>2</v>
      </c>
      <c r="I37" s="30">
        <f t="shared" si="18"/>
        <v>0.6666666667</v>
      </c>
      <c r="J37" s="20">
        <f t="shared" si="11"/>
        <v>1</v>
      </c>
      <c r="K37" s="22" t="s">
        <v>31</v>
      </c>
      <c r="L37" s="22" t="s">
        <v>33</v>
      </c>
      <c r="M37" s="22" t="s">
        <v>28</v>
      </c>
      <c r="N37" s="18">
        <f t="shared" si="12"/>
        <v>3</v>
      </c>
      <c r="O37" s="30">
        <f t="shared" si="19"/>
        <v>1</v>
      </c>
      <c r="P37" s="20">
        <f t="shared" si="14"/>
        <v>1</v>
      </c>
      <c r="Q37" s="31" t="s">
        <v>31</v>
      </c>
      <c r="R37" s="31" t="s">
        <v>33</v>
      </c>
      <c r="S37" s="31" t="s">
        <v>33</v>
      </c>
      <c r="T37" s="29">
        <f t="shared" si="20"/>
        <v>2</v>
      </c>
      <c r="U37" s="30">
        <f t="shared" si="21"/>
        <v>0.6666666667</v>
      </c>
      <c r="V37" s="32" t="s">
        <v>31</v>
      </c>
      <c r="W37" s="32" t="s">
        <v>33</v>
      </c>
      <c r="X37" s="32" t="s">
        <v>28</v>
      </c>
      <c r="Y37" s="13">
        <v>46131.0</v>
      </c>
      <c r="Z37" s="5"/>
      <c r="AA37" s="5"/>
      <c r="AB37" s="5"/>
    </row>
    <row r="38" ht="15.75" customHeight="1">
      <c r="A38" s="21">
        <v>413.0</v>
      </c>
      <c r="B38" s="21" t="s">
        <v>46</v>
      </c>
      <c r="C38" s="21" t="s">
        <v>36</v>
      </c>
      <c r="D38" s="21" t="s">
        <v>47</v>
      </c>
      <c r="E38" s="17" t="s">
        <v>30</v>
      </c>
      <c r="F38" s="16" t="s">
        <v>29</v>
      </c>
      <c r="G38" s="16" t="s">
        <v>28</v>
      </c>
      <c r="H38" s="29">
        <f t="shared" si="17"/>
        <v>1</v>
      </c>
      <c r="I38" s="30">
        <f t="shared" si="18"/>
        <v>0.3333333333</v>
      </c>
      <c r="J38" s="20">
        <f t="shared" si="11"/>
        <v>0.5</v>
      </c>
      <c r="K38" s="16" t="s">
        <v>29</v>
      </c>
      <c r="L38" s="16" t="s">
        <v>29</v>
      </c>
      <c r="M38" s="16" t="s">
        <v>28</v>
      </c>
      <c r="N38" s="18">
        <f t="shared" si="12"/>
        <v>2</v>
      </c>
      <c r="O38" s="30">
        <f t="shared" si="19"/>
        <v>0.6666666667</v>
      </c>
      <c r="P38" s="20">
        <f t="shared" si="14"/>
        <v>0.6666666667</v>
      </c>
      <c r="Q38" s="31" t="s">
        <v>29</v>
      </c>
      <c r="R38" s="31" t="s">
        <v>29</v>
      </c>
      <c r="S38" s="31" t="s">
        <v>33</v>
      </c>
      <c r="T38" s="29">
        <f t="shared" si="20"/>
        <v>2</v>
      </c>
      <c r="U38" s="30">
        <f t="shared" si="21"/>
        <v>0.6666666667</v>
      </c>
      <c r="V38" s="32" t="s">
        <v>29</v>
      </c>
      <c r="W38" s="32" t="s">
        <v>29</v>
      </c>
      <c r="X38" s="32" t="s">
        <v>29</v>
      </c>
      <c r="Y38" s="24">
        <v>46131.0</v>
      </c>
      <c r="Z38" s="5"/>
      <c r="AA38" s="5"/>
      <c r="AB38" s="5"/>
    </row>
    <row r="39" ht="15.75" customHeight="1">
      <c r="A39" s="21">
        <v>421.0</v>
      </c>
      <c r="B39" s="21" t="s">
        <v>46</v>
      </c>
      <c r="C39" s="21" t="s">
        <v>36</v>
      </c>
      <c r="D39" s="21" t="s">
        <v>48</v>
      </c>
      <c r="E39" s="17" t="s">
        <v>30</v>
      </c>
      <c r="F39" s="22" t="s">
        <v>29</v>
      </c>
      <c r="G39" s="17" t="s">
        <v>30</v>
      </c>
      <c r="H39" s="29">
        <f t="shared" si="17"/>
        <v>1</v>
      </c>
      <c r="I39" s="30">
        <f t="shared" si="18"/>
        <v>0.3333333333</v>
      </c>
      <c r="J39" s="20">
        <f t="shared" si="11"/>
        <v>1</v>
      </c>
      <c r="K39" s="22" t="s">
        <v>29</v>
      </c>
      <c r="L39" s="22" t="s">
        <v>29</v>
      </c>
      <c r="M39" s="22" t="s">
        <v>33</v>
      </c>
      <c r="N39" s="18">
        <f t="shared" si="12"/>
        <v>1</v>
      </c>
      <c r="O39" s="30">
        <f t="shared" si="19"/>
        <v>0.3333333333</v>
      </c>
      <c r="P39" s="20">
        <f t="shared" si="14"/>
        <v>0.3333333333</v>
      </c>
      <c r="Q39" s="31" t="s">
        <v>31</v>
      </c>
      <c r="R39" s="31" t="s">
        <v>29</v>
      </c>
      <c r="S39" s="31" t="s">
        <v>28</v>
      </c>
      <c r="T39" s="29">
        <f t="shared" si="20"/>
        <v>2</v>
      </c>
      <c r="U39" s="30">
        <f t="shared" si="21"/>
        <v>0.6666666667</v>
      </c>
      <c r="V39" s="32" t="s">
        <v>31</v>
      </c>
      <c r="W39" s="32" t="s">
        <v>29</v>
      </c>
      <c r="X39" s="32" t="s">
        <v>31</v>
      </c>
      <c r="Y39" s="13">
        <v>46131.0</v>
      </c>
      <c r="Z39" s="5"/>
      <c r="AA39" s="5"/>
      <c r="AB39" s="5"/>
    </row>
    <row r="40" ht="15.75" customHeight="1">
      <c r="A40" s="21">
        <v>422.0</v>
      </c>
      <c r="B40" s="21" t="s">
        <v>46</v>
      </c>
      <c r="C40" s="21" t="s">
        <v>36</v>
      </c>
      <c r="D40" s="21" t="s">
        <v>48</v>
      </c>
      <c r="E40" s="17" t="s">
        <v>30</v>
      </c>
      <c r="F40" s="17" t="s">
        <v>30</v>
      </c>
      <c r="G40" s="17" t="s">
        <v>30</v>
      </c>
      <c r="H40" s="29">
        <f t="shared" si="17"/>
        <v>0</v>
      </c>
      <c r="I40" s="30">
        <f t="shared" si="18"/>
        <v>0</v>
      </c>
      <c r="J40" s="20" t="str">
        <f t="shared" si="11"/>
        <v>XXX</v>
      </c>
      <c r="K40" s="16" t="s">
        <v>33</v>
      </c>
      <c r="L40" s="16" t="s">
        <v>28</v>
      </c>
      <c r="M40" s="16" t="s">
        <v>29</v>
      </c>
      <c r="N40" s="18">
        <f t="shared" si="12"/>
        <v>1</v>
      </c>
      <c r="O40" s="30">
        <f t="shared" si="19"/>
        <v>0.3333333333</v>
      </c>
      <c r="P40" s="20">
        <f t="shared" si="14"/>
        <v>0.3333333333</v>
      </c>
      <c r="Q40" s="31" t="s">
        <v>28</v>
      </c>
      <c r="R40" s="31" t="s">
        <v>28</v>
      </c>
      <c r="S40" s="31" t="s">
        <v>29</v>
      </c>
      <c r="T40" s="29">
        <f t="shared" si="20"/>
        <v>2</v>
      </c>
      <c r="U40" s="30">
        <f t="shared" si="21"/>
        <v>0.6666666667</v>
      </c>
      <c r="V40" s="32" t="s">
        <v>28</v>
      </c>
      <c r="W40" s="32" t="s">
        <v>28</v>
      </c>
      <c r="X40" s="32" t="s">
        <v>31</v>
      </c>
      <c r="Y40" s="24">
        <v>46131.0</v>
      </c>
      <c r="Z40" s="5"/>
      <c r="AA40" s="5"/>
      <c r="AB40" s="5"/>
    </row>
    <row r="41" ht="15.75" customHeight="1">
      <c r="A41" s="21">
        <v>423.0</v>
      </c>
      <c r="B41" s="21" t="s">
        <v>46</v>
      </c>
      <c r="C41" s="21" t="s">
        <v>36</v>
      </c>
      <c r="D41" s="21" t="s">
        <v>48</v>
      </c>
      <c r="E41" s="22" t="s">
        <v>28</v>
      </c>
      <c r="F41" s="17" t="s">
        <v>30</v>
      </c>
      <c r="G41" s="22" t="s">
        <v>29</v>
      </c>
      <c r="H41" s="29">
        <f t="shared" si="17"/>
        <v>2</v>
      </c>
      <c r="I41" s="30">
        <f t="shared" si="18"/>
        <v>0.6666666667</v>
      </c>
      <c r="J41" s="20">
        <f t="shared" si="11"/>
        <v>1</v>
      </c>
      <c r="K41" s="22" t="s">
        <v>28</v>
      </c>
      <c r="L41" s="22" t="s">
        <v>31</v>
      </c>
      <c r="M41" s="22" t="s">
        <v>29</v>
      </c>
      <c r="N41" s="18">
        <f t="shared" si="12"/>
        <v>2</v>
      </c>
      <c r="O41" s="30">
        <f t="shared" si="19"/>
        <v>0.6666666667</v>
      </c>
      <c r="P41" s="20">
        <f t="shared" si="14"/>
        <v>0.6666666667</v>
      </c>
      <c r="Q41" s="31" t="s">
        <v>28</v>
      </c>
      <c r="R41" s="31" t="s">
        <v>28</v>
      </c>
      <c r="S41" s="31" t="s">
        <v>29</v>
      </c>
      <c r="T41" s="29">
        <f t="shared" si="20"/>
        <v>3</v>
      </c>
      <c r="U41" s="30">
        <f t="shared" si="21"/>
        <v>1</v>
      </c>
      <c r="V41" s="32" t="s">
        <v>28</v>
      </c>
      <c r="W41" s="32" t="s">
        <v>28</v>
      </c>
      <c r="X41" s="32" t="s">
        <v>29</v>
      </c>
      <c r="Y41" s="13">
        <v>46131.0</v>
      </c>
      <c r="Z41" s="5"/>
      <c r="AA41" s="5"/>
      <c r="AB41" s="5"/>
    </row>
    <row r="42" ht="15.75" customHeight="1">
      <c r="A42" s="21">
        <v>521.0</v>
      </c>
      <c r="B42" s="21" t="s">
        <v>46</v>
      </c>
      <c r="C42" s="21" t="s">
        <v>41</v>
      </c>
      <c r="D42" s="21" t="s">
        <v>42</v>
      </c>
      <c r="E42" s="17" t="s">
        <v>30</v>
      </c>
      <c r="F42" s="17" t="s">
        <v>30</v>
      </c>
      <c r="G42" s="17" t="s">
        <v>30</v>
      </c>
      <c r="H42" s="29">
        <f t="shared" si="17"/>
        <v>0</v>
      </c>
      <c r="I42" s="30">
        <f t="shared" si="18"/>
        <v>0</v>
      </c>
      <c r="J42" s="20" t="str">
        <f t="shared" si="11"/>
        <v>XXX</v>
      </c>
      <c r="K42" s="16" t="s">
        <v>33</v>
      </c>
      <c r="L42" s="16" t="s">
        <v>29</v>
      </c>
      <c r="M42" s="16" t="s">
        <v>31</v>
      </c>
      <c r="N42" s="18">
        <f t="shared" si="12"/>
        <v>2</v>
      </c>
      <c r="O42" s="30">
        <f t="shared" si="19"/>
        <v>0.6666666667</v>
      </c>
      <c r="P42" s="20">
        <f t="shared" si="14"/>
        <v>0.6666666667</v>
      </c>
      <c r="Q42" s="31" t="s">
        <v>33</v>
      </c>
      <c r="R42" s="31" t="s">
        <v>28</v>
      </c>
      <c r="S42" s="31" t="s">
        <v>31</v>
      </c>
      <c r="T42" s="29">
        <f t="shared" si="20"/>
        <v>3</v>
      </c>
      <c r="U42" s="30">
        <f t="shared" si="21"/>
        <v>1</v>
      </c>
      <c r="V42" s="32" t="s">
        <v>33</v>
      </c>
      <c r="W42" s="32" t="s">
        <v>28</v>
      </c>
      <c r="X42" s="32" t="s">
        <v>31</v>
      </c>
      <c r="Y42" s="24">
        <v>46131.0</v>
      </c>
      <c r="Z42" s="5"/>
      <c r="AA42" s="5"/>
      <c r="AB42" s="5"/>
    </row>
    <row r="43" ht="15.75" customHeight="1">
      <c r="A43" s="21">
        <v>522.0</v>
      </c>
      <c r="B43" s="21" t="s">
        <v>46</v>
      </c>
      <c r="C43" s="21" t="s">
        <v>41</v>
      </c>
      <c r="D43" s="21" t="s">
        <v>42</v>
      </c>
      <c r="E43" s="17" t="s">
        <v>30</v>
      </c>
      <c r="F43" s="17" t="s">
        <v>30</v>
      </c>
      <c r="G43" s="17" t="s">
        <v>30</v>
      </c>
      <c r="H43" s="29">
        <f t="shared" si="17"/>
        <v>0</v>
      </c>
      <c r="I43" s="30">
        <f t="shared" si="18"/>
        <v>0</v>
      </c>
      <c r="J43" s="20" t="str">
        <f t="shared" si="11"/>
        <v>XXX</v>
      </c>
      <c r="K43" s="22" t="s">
        <v>29</v>
      </c>
      <c r="L43" s="22" t="s">
        <v>29</v>
      </c>
      <c r="M43" s="22" t="s">
        <v>29</v>
      </c>
      <c r="N43" s="18">
        <f t="shared" si="12"/>
        <v>1</v>
      </c>
      <c r="O43" s="30">
        <f t="shared" si="19"/>
        <v>0.3333333333</v>
      </c>
      <c r="P43" s="20">
        <f t="shared" si="14"/>
        <v>0.3333333333</v>
      </c>
      <c r="Q43" s="31" t="s">
        <v>31</v>
      </c>
      <c r="R43" s="31" t="s">
        <v>33</v>
      </c>
      <c r="S43" s="31" t="s">
        <v>29</v>
      </c>
      <c r="T43" s="29">
        <f t="shared" si="20"/>
        <v>1</v>
      </c>
      <c r="U43" s="30">
        <f t="shared" si="21"/>
        <v>0.3333333333</v>
      </c>
      <c r="V43" s="32" t="s">
        <v>31</v>
      </c>
      <c r="W43" s="32" t="s">
        <v>29</v>
      </c>
      <c r="X43" s="32" t="s">
        <v>33</v>
      </c>
      <c r="Y43" s="13">
        <v>46131.0</v>
      </c>
      <c r="Z43" s="5"/>
      <c r="AA43" s="5"/>
      <c r="AB43" s="5"/>
    </row>
    <row r="44" ht="15.75" customHeight="1">
      <c r="A44" s="21">
        <v>523.0</v>
      </c>
      <c r="B44" s="21" t="s">
        <v>46</v>
      </c>
      <c r="C44" s="21" t="s">
        <v>41</v>
      </c>
      <c r="D44" s="21" t="s">
        <v>42</v>
      </c>
      <c r="E44" s="17" t="s">
        <v>30</v>
      </c>
      <c r="F44" s="16" t="s">
        <v>33</v>
      </c>
      <c r="G44" s="16" t="s">
        <v>28</v>
      </c>
      <c r="H44" s="29">
        <f t="shared" si="17"/>
        <v>2</v>
      </c>
      <c r="I44" s="30">
        <f t="shared" si="18"/>
        <v>0.6666666667</v>
      </c>
      <c r="J44" s="20">
        <f t="shared" si="11"/>
        <v>1</v>
      </c>
      <c r="K44" s="16" t="s">
        <v>29</v>
      </c>
      <c r="L44" s="16" t="s">
        <v>33</v>
      </c>
      <c r="M44" s="16" t="s">
        <v>28</v>
      </c>
      <c r="N44" s="18">
        <f t="shared" si="12"/>
        <v>3</v>
      </c>
      <c r="O44" s="30">
        <f t="shared" si="19"/>
        <v>1</v>
      </c>
      <c r="P44" s="20">
        <f t="shared" si="14"/>
        <v>1</v>
      </c>
      <c r="Q44" s="31" t="s">
        <v>29</v>
      </c>
      <c r="R44" s="31" t="s">
        <v>33</v>
      </c>
      <c r="S44" s="31" t="s">
        <v>28</v>
      </c>
      <c r="T44" s="29">
        <f t="shared" si="20"/>
        <v>3</v>
      </c>
      <c r="U44" s="30">
        <f t="shared" si="21"/>
        <v>1</v>
      </c>
      <c r="V44" s="32" t="s">
        <v>29</v>
      </c>
      <c r="W44" s="32" t="s">
        <v>33</v>
      </c>
      <c r="X44" s="32" t="s">
        <v>28</v>
      </c>
      <c r="Y44" s="24">
        <v>46131.0</v>
      </c>
      <c r="Z44" s="5"/>
      <c r="AA44" s="5"/>
      <c r="AB44" s="5"/>
    </row>
    <row r="45" ht="15.75" customHeight="1">
      <c r="A45" s="21">
        <v>533.0</v>
      </c>
      <c r="B45" s="21" t="s">
        <v>46</v>
      </c>
      <c r="C45" s="21" t="s">
        <v>41</v>
      </c>
      <c r="D45" s="21" t="s">
        <v>43</v>
      </c>
      <c r="E45" s="17" t="s">
        <v>30</v>
      </c>
      <c r="F45" s="17" t="s">
        <v>30</v>
      </c>
      <c r="G45" s="17" t="s">
        <v>30</v>
      </c>
      <c r="H45" s="29">
        <f t="shared" si="17"/>
        <v>0</v>
      </c>
      <c r="I45" s="30">
        <f t="shared" si="18"/>
        <v>0</v>
      </c>
      <c r="J45" s="20" t="str">
        <f t="shared" si="11"/>
        <v>XXX</v>
      </c>
      <c r="K45" s="22" t="s">
        <v>33</v>
      </c>
      <c r="L45" s="22" t="s">
        <v>29</v>
      </c>
      <c r="M45" s="22" t="s">
        <v>29</v>
      </c>
      <c r="N45" s="18">
        <f t="shared" si="12"/>
        <v>0</v>
      </c>
      <c r="O45" s="30">
        <f t="shared" si="19"/>
        <v>0</v>
      </c>
      <c r="P45" s="20">
        <f t="shared" si="14"/>
        <v>0</v>
      </c>
      <c r="Q45" s="31" t="s">
        <v>33</v>
      </c>
      <c r="R45" s="31" t="s">
        <v>29</v>
      </c>
      <c r="S45" s="31" t="s">
        <v>28</v>
      </c>
      <c r="T45" s="29">
        <f t="shared" si="20"/>
        <v>0</v>
      </c>
      <c r="U45" s="30">
        <f t="shared" si="21"/>
        <v>0</v>
      </c>
      <c r="V45" s="32" t="s">
        <v>31</v>
      </c>
      <c r="W45" s="32" t="s">
        <v>28</v>
      </c>
      <c r="X45" s="32" t="s">
        <v>33</v>
      </c>
      <c r="Y45" s="13">
        <v>46131.0</v>
      </c>
      <c r="Z45" s="5"/>
      <c r="AA45" s="5"/>
      <c r="AB45" s="5"/>
    </row>
    <row r="46" ht="15.75" customHeight="1">
      <c r="A46" s="21">
        <v>534.0</v>
      </c>
      <c r="B46" s="21" t="s">
        <v>46</v>
      </c>
      <c r="C46" s="21" t="s">
        <v>41</v>
      </c>
      <c r="D46" s="21" t="s">
        <v>43</v>
      </c>
      <c r="E46" s="35" t="s">
        <v>30</v>
      </c>
      <c r="F46" s="35" t="s">
        <v>30</v>
      </c>
      <c r="G46" s="34" t="s">
        <v>28</v>
      </c>
      <c r="H46" s="29">
        <f t="shared" si="17"/>
        <v>1</v>
      </c>
      <c r="I46" s="30">
        <f t="shared" si="18"/>
        <v>0.3333333333</v>
      </c>
      <c r="J46" s="20">
        <f t="shared" si="11"/>
        <v>1</v>
      </c>
      <c r="K46" s="34" t="s">
        <v>33</v>
      </c>
      <c r="L46" s="34" t="s">
        <v>33</v>
      </c>
      <c r="M46" s="34" t="s">
        <v>28</v>
      </c>
      <c r="N46" s="18">
        <f t="shared" si="12"/>
        <v>2</v>
      </c>
      <c r="O46" s="30">
        <f t="shared" si="19"/>
        <v>0.6666666667</v>
      </c>
      <c r="P46" s="20">
        <f t="shared" si="14"/>
        <v>0.6666666667</v>
      </c>
      <c r="Q46" s="31" t="s">
        <v>33</v>
      </c>
      <c r="R46" s="31" t="s">
        <v>33</v>
      </c>
      <c r="S46" s="31" t="s">
        <v>31</v>
      </c>
      <c r="T46" s="29">
        <f t="shared" si="20"/>
        <v>1</v>
      </c>
      <c r="U46" s="30">
        <f t="shared" si="21"/>
        <v>0.3333333333</v>
      </c>
      <c r="V46" s="32" t="s">
        <v>29</v>
      </c>
      <c r="W46" s="32" t="s">
        <v>33</v>
      </c>
      <c r="X46" s="32" t="s">
        <v>28</v>
      </c>
      <c r="Y46" s="24">
        <v>46131.0</v>
      </c>
      <c r="Z46" s="5"/>
      <c r="AA46" s="5"/>
      <c r="AB46" s="5"/>
    </row>
    <row r="47" ht="15.75" customHeight="1">
      <c r="A47" s="21">
        <v>535.0</v>
      </c>
      <c r="B47" s="21" t="s">
        <v>46</v>
      </c>
      <c r="C47" s="21" t="s">
        <v>41</v>
      </c>
      <c r="D47" s="21" t="s">
        <v>43</v>
      </c>
      <c r="E47" s="36" t="s">
        <v>31</v>
      </c>
      <c r="F47" s="35" t="s">
        <v>30</v>
      </c>
      <c r="G47" s="35" t="s">
        <v>30</v>
      </c>
      <c r="H47" s="29">
        <f t="shared" si="17"/>
        <v>1</v>
      </c>
      <c r="I47" s="30">
        <f t="shared" si="18"/>
        <v>0.3333333333</v>
      </c>
      <c r="J47" s="20">
        <f t="shared" si="11"/>
        <v>1</v>
      </c>
      <c r="K47" s="36" t="s">
        <v>31</v>
      </c>
      <c r="L47" s="36" t="s">
        <v>31</v>
      </c>
      <c r="M47" s="36" t="s">
        <v>33</v>
      </c>
      <c r="N47" s="18">
        <f t="shared" si="12"/>
        <v>2</v>
      </c>
      <c r="O47" s="30">
        <f t="shared" si="19"/>
        <v>0.6666666667</v>
      </c>
      <c r="P47" s="20">
        <f t="shared" si="14"/>
        <v>0.6666666667</v>
      </c>
      <c r="Q47" s="31" t="s">
        <v>28</v>
      </c>
      <c r="R47" s="31" t="s">
        <v>31</v>
      </c>
      <c r="S47" s="31" t="s">
        <v>28</v>
      </c>
      <c r="T47" s="29">
        <f t="shared" si="20"/>
        <v>0</v>
      </c>
      <c r="U47" s="30">
        <f t="shared" si="21"/>
        <v>0</v>
      </c>
      <c r="V47" s="32" t="s">
        <v>31</v>
      </c>
      <c r="W47" s="32" t="s">
        <v>29</v>
      </c>
      <c r="X47" s="32" t="s">
        <v>33</v>
      </c>
      <c r="Y47" s="13">
        <v>46131.0</v>
      </c>
      <c r="Z47" s="5"/>
      <c r="AA47" s="5"/>
      <c r="AB47" s="5"/>
    </row>
    <row r="48" ht="15.75" customHeight="1">
      <c r="A48" s="21">
        <v>551.0</v>
      </c>
      <c r="B48" s="21" t="s">
        <v>46</v>
      </c>
      <c r="C48" s="21" t="s">
        <v>41</v>
      </c>
      <c r="D48" s="21" t="s">
        <v>44</v>
      </c>
      <c r="E48" s="17" t="s">
        <v>30</v>
      </c>
      <c r="F48" s="16" t="s">
        <v>29</v>
      </c>
      <c r="G48" s="17" t="s">
        <v>30</v>
      </c>
      <c r="H48" s="29">
        <f t="shared" si="17"/>
        <v>1</v>
      </c>
      <c r="I48" s="30">
        <f t="shared" si="18"/>
        <v>0.3333333333</v>
      </c>
      <c r="J48" s="20">
        <f t="shared" si="11"/>
        <v>1</v>
      </c>
      <c r="K48" s="16" t="s">
        <v>33</v>
      </c>
      <c r="L48" s="16" t="s">
        <v>33</v>
      </c>
      <c r="M48" s="16" t="s">
        <v>33</v>
      </c>
      <c r="N48" s="18">
        <f t="shared" si="12"/>
        <v>1</v>
      </c>
      <c r="O48" s="30">
        <f t="shared" si="19"/>
        <v>0.3333333333</v>
      </c>
      <c r="P48" s="20">
        <f t="shared" si="14"/>
        <v>0.3333333333</v>
      </c>
      <c r="Q48" s="31" t="s">
        <v>31</v>
      </c>
      <c r="R48" s="31" t="s">
        <v>33</v>
      </c>
      <c r="S48" s="31" t="s">
        <v>28</v>
      </c>
      <c r="T48" s="29">
        <f t="shared" si="20"/>
        <v>1</v>
      </c>
      <c r="U48" s="30">
        <f t="shared" si="21"/>
        <v>0.3333333333</v>
      </c>
      <c r="V48" s="32" t="s">
        <v>31</v>
      </c>
      <c r="W48" s="32" t="s">
        <v>29</v>
      </c>
      <c r="X48" s="32" t="s">
        <v>33</v>
      </c>
      <c r="Y48" s="24">
        <v>46132.0</v>
      </c>
      <c r="Z48" s="5"/>
      <c r="AA48" s="5"/>
      <c r="AB48" s="5"/>
    </row>
    <row r="49" ht="15.75" customHeight="1">
      <c r="A49" s="21">
        <v>552.0</v>
      </c>
      <c r="B49" s="21" t="s">
        <v>46</v>
      </c>
      <c r="C49" s="21" t="s">
        <v>41</v>
      </c>
      <c r="D49" s="21" t="s">
        <v>44</v>
      </c>
      <c r="E49" s="17" t="s">
        <v>30</v>
      </c>
      <c r="F49" s="17" t="s">
        <v>30</v>
      </c>
      <c r="G49" s="22" t="s">
        <v>29</v>
      </c>
      <c r="H49" s="29">
        <f t="shared" si="17"/>
        <v>1</v>
      </c>
      <c r="I49" s="30">
        <f t="shared" si="18"/>
        <v>0.3333333333</v>
      </c>
      <c r="J49" s="20">
        <f t="shared" si="11"/>
        <v>1</v>
      </c>
      <c r="K49" s="22" t="s">
        <v>29</v>
      </c>
      <c r="L49" s="22" t="s">
        <v>33</v>
      </c>
      <c r="M49" s="22" t="s">
        <v>29</v>
      </c>
      <c r="N49" s="18">
        <f t="shared" si="12"/>
        <v>1</v>
      </c>
      <c r="O49" s="30">
        <f t="shared" si="19"/>
        <v>0.3333333333</v>
      </c>
      <c r="P49" s="20">
        <f t="shared" si="14"/>
        <v>0.3333333333</v>
      </c>
      <c r="Q49" s="31" t="s">
        <v>28</v>
      </c>
      <c r="R49" s="31" t="s">
        <v>28</v>
      </c>
      <c r="S49" s="31" t="s">
        <v>33</v>
      </c>
      <c r="T49" s="29">
        <f t="shared" si="20"/>
        <v>1</v>
      </c>
      <c r="U49" s="30">
        <f t="shared" si="21"/>
        <v>0.3333333333</v>
      </c>
      <c r="V49" s="32" t="s">
        <v>28</v>
      </c>
      <c r="W49" s="32" t="s">
        <v>31</v>
      </c>
      <c r="X49" s="32" t="s">
        <v>29</v>
      </c>
      <c r="Y49" s="24">
        <v>46132.0</v>
      </c>
      <c r="Z49" s="5"/>
      <c r="AA49" s="5"/>
      <c r="AB49" s="5"/>
    </row>
    <row r="50" ht="15.75" customHeight="1">
      <c r="A50" s="21">
        <v>553.0</v>
      </c>
      <c r="B50" s="21" t="s">
        <v>46</v>
      </c>
      <c r="C50" s="21" t="s">
        <v>41</v>
      </c>
      <c r="D50" s="21" t="s">
        <v>44</v>
      </c>
      <c r="E50" s="17" t="s">
        <v>30</v>
      </c>
      <c r="F50" s="17" t="s">
        <v>30</v>
      </c>
      <c r="G50" s="17" t="s">
        <v>30</v>
      </c>
      <c r="H50" s="29">
        <f t="shared" si="17"/>
        <v>0</v>
      </c>
      <c r="I50" s="30">
        <f t="shared" si="18"/>
        <v>0</v>
      </c>
      <c r="J50" s="20" t="str">
        <f t="shared" si="11"/>
        <v>XXX</v>
      </c>
      <c r="K50" s="16" t="s">
        <v>33</v>
      </c>
      <c r="L50" s="16" t="s">
        <v>29</v>
      </c>
      <c r="M50" s="17" t="s">
        <v>30</v>
      </c>
      <c r="N50" s="18">
        <f t="shared" si="12"/>
        <v>1</v>
      </c>
      <c r="O50" s="30">
        <f t="shared" si="19"/>
        <v>0.3333333333</v>
      </c>
      <c r="P50" s="20">
        <f t="shared" si="14"/>
        <v>0.5</v>
      </c>
      <c r="Q50" s="31" t="s">
        <v>29</v>
      </c>
      <c r="R50" s="31" t="s">
        <v>28</v>
      </c>
      <c r="S50" s="31" t="s">
        <v>33</v>
      </c>
      <c r="T50" s="29">
        <f t="shared" si="20"/>
        <v>1</v>
      </c>
      <c r="U50" s="30">
        <f t="shared" si="21"/>
        <v>0.3333333333</v>
      </c>
      <c r="V50" s="32" t="s">
        <v>33</v>
      </c>
      <c r="W50" s="32" t="s">
        <v>28</v>
      </c>
      <c r="X50" s="32" t="s">
        <v>31</v>
      </c>
      <c r="Y50" s="24">
        <v>46132.0</v>
      </c>
      <c r="Z50" s="5"/>
      <c r="AA50" s="5"/>
      <c r="AB50" s="5"/>
    </row>
    <row r="51" ht="15.75" customHeight="1">
      <c r="A51" s="21">
        <v>561.0</v>
      </c>
      <c r="B51" s="21" t="s">
        <v>46</v>
      </c>
      <c r="C51" s="21" t="s">
        <v>41</v>
      </c>
      <c r="D51" s="21" t="s">
        <v>45</v>
      </c>
      <c r="E51" s="22" t="s">
        <v>31</v>
      </c>
      <c r="F51" s="17" t="s">
        <v>30</v>
      </c>
      <c r="G51" s="17" t="s">
        <v>30</v>
      </c>
      <c r="H51" s="29">
        <f t="shared" si="17"/>
        <v>1</v>
      </c>
      <c r="I51" s="30">
        <f t="shared" si="18"/>
        <v>0.3333333333</v>
      </c>
      <c r="J51" s="20">
        <f t="shared" si="11"/>
        <v>1</v>
      </c>
      <c r="K51" s="22" t="s">
        <v>31</v>
      </c>
      <c r="L51" s="22" t="s">
        <v>29</v>
      </c>
      <c r="M51" s="22" t="s">
        <v>31</v>
      </c>
      <c r="N51" s="18">
        <f t="shared" si="12"/>
        <v>1</v>
      </c>
      <c r="O51" s="30">
        <f t="shared" si="19"/>
        <v>0.3333333333</v>
      </c>
      <c r="P51" s="20">
        <f t="shared" si="14"/>
        <v>0.3333333333</v>
      </c>
      <c r="Q51" s="31" t="s">
        <v>31</v>
      </c>
      <c r="R51" s="31" t="s">
        <v>29</v>
      </c>
      <c r="S51" s="31" t="s">
        <v>33</v>
      </c>
      <c r="T51" s="29">
        <f t="shared" si="20"/>
        <v>2</v>
      </c>
      <c r="U51" s="30">
        <f t="shared" si="21"/>
        <v>0.6666666667</v>
      </c>
      <c r="V51" s="32" t="s">
        <v>31</v>
      </c>
      <c r="W51" s="32" t="s">
        <v>31</v>
      </c>
      <c r="X51" s="32" t="s">
        <v>33</v>
      </c>
      <c r="Y51" s="24">
        <v>46132.0</v>
      </c>
      <c r="Z51" s="5"/>
      <c r="AA51" s="5"/>
      <c r="AB51" s="5"/>
    </row>
    <row r="52" ht="15.75" customHeight="1">
      <c r="A52" s="21">
        <v>562.0</v>
      </c>
      <c r="B52" s="21" t="s">
        <v>46</v>
      </c>
      <c r="C52" s="21" t="s">
        <v>41</v>
      </c>
      <c r="D52" s="21" t="s">
        <v>45</v>
      </c>
      <c r="E52" s="17" t="s">
        <v>30</v>
      </c>
      <c r="F52" s="17" t="s">
        <v>30</v>
      </c>
      <c r="G52" s="17" t="s">
        <v>30</v>
      </c>
      <c r="H52" s="29">
        <f t="shared" si="17"/>
        <v>0</v>
      </c>
      <c r="I52" s="30">
        <f t="shared" si="18"/>
        <v>0</v>
      </c>
      <c r="J52" s="20" t="str">
        <f t="shared" si="11"/>
        <v>XXX</v>
      </c>
      <c r="K52" s="16" t="s">
        <v>28</v>
      </c>
      <c r="L52" s="16" t="s">
        <v>28</v>
      </c>
      <c r="M52" s="16" t="s">
        <v>31</v>
      </c>
      <c r="N52" s="18">
        <f t="shared" si="12"/>
        <v>2</v>
      </c>
      <c r="O52" s="30">
        <f t="shared" si="19"/>
        <v>0.6666666667</v>
      </c>
      <c r="P52" s="20">
        <f t="shared" si="14"/>
        <v>0.6666666667</v>
      </c>
      <c r="Q52" s="31" t="s">
        <v>33</v>
      </c>
      <c r="R52" s="31" t="s">
        <v>28</v>
      </c>
      <c r="S52" s="31" t="s">
        <v>31</v>
      </c>
      <c r="T52" s="29">
        <f t="shared" si="20"/>
        <v>1</v>
      </c>
      <c r="U52" s="30">
        <f t="shared" si="21"/>
        <v>0.3333333333</v>
      </c>
      <c r="V52" s="32" t="s">
        <v>28</v>
      </c>
      <c r="W52" s="32" t="s">
        <v>28</v>
      </c>
      <c r="X52" s="32" t="s">
        <v>29</v>
      </c>
      <c r="Y52" s="24">
        <v>46132.0</v>
      </c>
      <c r="Z52" s="5"/>
      <c r="AA52" s="5"/>
      <c r="AB52" s="5"/>
    </row>
    <row r="53" ht="15.75" customHeight="1">
      <c r="A53" s="21">
        <v>564.0</v>
      </c>
      <c r="B53" s="21" t="s">
        <v>46</v>
      </c>
      <c r="C53" s="21" t="s">
        <v>41</v>
      </c>
      <c r="D53" s="21" t="s">
        <v>45</v>
      </c>
      <c r="E53" s="17" t="s">
        <v>30</v>
      </c>
      <c r="F53" s="17" t="s">
        <v>30</v>
      </c>
      <c r="G53" s="22" t="s">
        <v>28</v>
      </c>
      <c r="H53" s="29">
        <f t="shared" si="17"/>
        <v>1</v>
      </c>
      <c r="I53" s="30">
        <f t="shared" si="18"/>
        <v>0.3333333333</v>
      </c>
      <c r="J53" s="20">
        <f t="shared" si="11"/>
        <v>1</v>
      </c>
      <c r="K53" s="22" t="s">
        <v>28</v>
      </c>
      <c r="L53" s="22" t="s">
        <v>28</v>
      </c>
      <c r="M53" s="22" t="s">
        <v>28</v>
      </c>
      <c r="N53" s="18">
        <f t="shared" si="12"/>
        <v>1</v>
      </c>
      <c r="O53" s="30">
        <f t="shared" si="19"/>
        <v>0.3333333333</v>
      </c>
      <c r="P53" s="20">
        <f t="shared" si="14"/>
        <v>0.3333333333</v>
      </c>
      <c r="Q53" s="31" t="s">
        <v>28</v>
      </c>
      <c r="R53" s="31" t="s">
        <v>33</v>
      </c>
      <c r="S53" s="31" t="s">
        <v>28</v>
      </c>
      <c r="T53" s="29">
        <f t="shared" si="20"/>
        <v>2</v>
      </c>
      <c r="U53" s="30">
        <f t="shared" si="21"/>
        <v>0.6666666667</v>
      </c>
      <c r="V53" s="32" t="s">
        <v>31</v>
      </c>
      <c r="W53" s="32" t="s">
        <v>33</v>
      </c>
      <c r="X53" s="32" t="s">
        <v>28</v>
      </c>
      <c r="Y53" s="24">
        <v>46132.0</v>
      </c>
      <c r="Z53" s="5"/>
      <c r="AA53" s="5"/>
      <c r="AB53" s="5"/>
    </row>
    <row r="54" ht="15.75" customHeight="1">
      <c r="A54" s="21">
        <v>1.0</v>
      </c>
      <c r="B54" s="21" t="s">
        <v>49</v>
      </c>
      <c r="C54" s="21" t="s">
        <v>26</v>
      </c>
      <c r="D54" s="21" t="s">
        <v>27</v>
      </c>
      <c r="E54" s="17" t="s">
        <v>30</v>
      </c>
      <c r="F54" s="16" t="s">
        <v>31</v>
      </c>
      <c r="G54" s="17" t="s">
        <v>30</v>
      </c>
      <c r="H54" s="29">
        <f t="shared" si="17"/>
        <v>1</v>
      </c>
      <c r="I54" s="30">
        <f t="shared" si="18"/>
        <v>0.3333333333</v>
      </c>
      <c r="J54" s="20">
        <f t="shared" si="11"/>
        <v>1</v>
      </c>
      <c r="K54" s="16" t="s">
        <v>33</v>
      </c>
      <c r="L54" s="16" t="s">
        <v>31</v>
      </c>
      <c r="M54" s="16" t="s">
        <v>29</v>
      </c>
      <c r="N54" s="18">
        <f t="shared" si="12"/>
        <v>2</v>
      </c>
      <c r="O54" s="30">
        <f t="shared" si="19"/>
        <v>0.6666666667</v>
      </c>
      <c r="P54" s="20">
        <f t="shared" si="14"/>
        <v>0.6666666667</v>
      </c>
      <c r="Q54" s="31" t="s">
        <v>29</v>
      </c>
      <c r="R54" s="31" t="s">
        <v>31</v>
      </c>
      <c r="S54" s="31" t="s">
        <v>29</v>
      </c>
      <c r="T54" s="29">
        <f t="shared" si="20"/>
        <v>2</v>
      </c>
      <c r="U54" s="30">
        <f t="shared" si="21"/>
        <v>0.6666666667</v>
      </c>
      <c r="V54" s="32" t="s">
        <v>28</v>
      </c>
      <c r="W54" s="32" t="s">
        <v>31</v>
      </c>
      <c r="X54" s="32" t="s">
        <v>29</v>
      </c>
      <c r="Y54" s="24">
        <v>46132.0</v>
      </c>
      <c r="Z54" s="5"/>
      <c r="AA54" s="5"/>
      <c r="AB54" s="5"/>
    </row>
    <row r="55" ht="15.75" customHeight="1">
      <c r="A55" s="21">
        <v>2.0</v>
      </c>
      <c r="B55" s="21" t="s">
        <v>49</v>
      </c>
      <c r="C55" s="21" t="s">
        <v>26</v>
      </c>
      <c r="D55" s="21" t="s">
        <v>27</v>
      </c>
      <c r="E55" s="17" t="s">
        <v>30</v>
      </c>
      <c r="F55" s="17" t="s">
        <v>30</v>
      </c>
      <c r="G55" s="17" t="s">
        <v>30</v>
      </c>
      <c r="H55" s="29">
        <f t="shared" si="17"/>
        <v>0</v>
      </c>
      <c r="I55" s="30">
        <f t="shared" si="18"/>
        <v>0</v>
      </c>
      <c r="J55" s="20" t="str">
        <f t="shared" si="11"/>
        <v>XXX</v>
      </c>
      <c r="K55" s="22" t="s">
        <v>28</v>
      </c>
      <c r="L55" s="22" t="s">
        <v>33</v>
      </c>
      <c r="M55" s="17" t="s">
        <v>30</v>
      </c>
      <c r="N55" s="18">
        <f t="shared" si="12"/>
        <v>1</v>
      </c>
      <c r="O55" s="30">
        <f t="shared" si="19"/>
        <v>0.3333333333</v>
      </c>
      <c r="P55" s="20">
        <f t="shared" si="14"/>
        <v>0.5</v>
      </c>
      <c r="Q55" s="31" t="s">
        <v>28</v>
      </c>
      <c r="R55" s="31" t="s">
        <v>29</v>
      </c>
      <c r="S55" s="31" t="s">
        <v>31</v>
      </c>
      <c r="T55" s="29">
        <f t="shared" si="20"/>
        <v>2</v>
      </c>
      <c r="U55" s="30">
        <f t="shared" si="21"/>
        <v>0.6666666667</v>
      </c>
      <c r="V55" s="32" t="s">
        <v>28</v>
      </c>
      <c r="W55" s="32" t="s">
        <v>29</v>
      </c>
      <c r="X55" s="32" t="s">
        <v>33</v>
      </c>
      <c r="Y55" s="24">
        <v>46132.0</v>
      </c>
      <c r="Z55" s="5"/>
      <c r="AA55" s="5"/>
      <c r="AB55" s="5"/>
    </row>
    <row r="56" ht="15.75" customHeight="1">
      <c r="A56" s="21">
        <v>3.0</v>
      </c>
      <c r="B56" s="21" t="s">
        <v>49</v>
      </c>
      <c r="C56" s="21" t="s">
        <v>26</v>
      </c>
      <c r="D56" s="21" t="s">
        <v>27</v>
      </c>
      <c r="E56" s="17" t="s">
        <v>30</v>
      </c>
      <c r="F56" s="17" t="s">
        <v>30</v>
      </c>
      <c r="G56" s="16" t="s">
        <v>29</v>
      </c>
      <c r="H56" s="29">
        <f t="shared" si="17"/>
        <v>1</v>
      </c>
      <c r="I56" s="30">
        <f t="shared" si="18"/>
        <v>0.3333333333</v>
      </c>
      <c r="J56" s="20">
        <f t="shared" si="11"/>
        <v>1</v>
      </c>
      <c r="K56" s="16" t="s">
        <v>28</v>
      </c>
      <c r="L56" s="16" t="s">
        <v>28</v>
      </c>
      <c r="M56" s="16" t="s">
        <v>29</v>
      </c>
      <c r="N56" s="18">
        <f t="shared" si="12"/>
        <v>2</v>
      </c>
      <c r="O56" s="30">
        <f t="shared" si="19"/>
        <v>0.6666666667</v>
      </c>
      <c r="P56" s="20">
        <f t="shared" si="14"/>
        <v>0.6666666667</v>
      </c>
      <c r="Q56" s="31" t="s">
        <v>28</v>
      </c>
      <c r="R56" s="31" t="s">
        <v>29</v>
      </c>
      <c r="S56" s="31" t="s">
        <v>29</v>
      </c>
      <c r="T56" s="29">
        <f t="shared" si="20"/>
        <v>1</v>
      </c>
      <c r="U56" s="30">
        <f t="shared" si="21"/>
        <v>0.3333333333</v>
      </c>
      <c r="V56" s="32" t="s">
        <v>33</v>
      </c>
      <c r="W56" s="32" t="s">
        <v>28</v>
      </c>
      <c r="X56" s="32" t="s">
        <v>29</v>
      </c>
      <c r="Y56" s="24">
        <v>46132.0</v>
      </c>
      <c r="Z56" s="5"/>
      <c r="AA56" s="5"/>
      <c r="AB56" s="5"/>
    </row>
    <row r="57" ht="15.75" customHeight="1">
      <c r="A57" s="21">
        <v>21.0</v>
      </c>
      <c r="B57" s="21" t="s">
        <v>49</v>
      </c>
      <c r="C57" s="21" t="s">
        <v>26</v>
      </c>
      <c r="D57" s="21" t="s">
        <v>32</v>
      </c>
      <c r="E57" s="22" t="s">
        <v>31</v>
      </c>
      <c r="F57" s="22" t="s">
        <v>33</v>
      </c>
      <c r="G57" s="17" t="s">
        <v>30</v>
      </c>
      <c r="H57" s="29">
        <f t="shared" si="17"/>
        <v>2</v>
      </c>
      <c r="I57" s="30">
        <f t="shared" si="18"/>
        <v>0.6666666667</v>
      </c>
      <c r="J57" s="20">
        <f t="shared" si="11"/>
        <v>1</v>
      </c>
      <c r="K57" s="22" t="s">
        <v>31</v>
      </c>
      <c r="L57" s="22" t="s">
        <v>33</v>
      </c>
      <c r="M57" s="22" t="s">
        <v>28</v>
      </c>
      <c r="N57" s="18">
        <f t="shared" si="12"/>
        <v>3</v>
      </c>
      <c r="O57" s="30">
        <f t="shared" si="19"/>
        <v>1</v>
      </c>
      <c r="P57" s="20">
        <f t="shared" si="14"/>
        <v>1</v>
      </c>
      <c r="Q57" s="31" t="s">
        <v>31</v>
      </c>
      <c r="R57" s="31" t="s">
        <v>33</v>
      </c>
      <c r="S57" s="31" t="s">
        <v>29</v>
      </c>
      <c r="T57" s="29">
        <f t="shared" si="20"/>
        <v>2</v>
      </c>
      <c r="U57" s="30">
        <f t="shared" si="21"/>
        <v>0.6666666667</v>
      </c>
      <c r="V57" s="32" t="s">
        <v>31</v>
      </c>
      <c r="W57" s="32" t="s">
        <v>33</v>
      </c>
      <c r="X57" s="32" t="s">
        <v>28</v>
      </c>
      <c r="Y57" s="24">
        <v>46132.0</v>
      </c>
      <c r="Z57" s="5"/>
      <c r="AA57" s="5"/>
      <c r="AB57" s="5"/>
    </row>
    <row r="58" ht="15.75" customHeight="1">
      <c r="A58" s="21">
        <v>22.0</v>
      </c>
      <c r="B58" s="21" t="s">
        <v>49</v>
      </c>
      <c r="C58" s="21" t="s">
        <v>26</v>
      </c>
      <c r="D58" s="21" t="s">
        <v>32</v>
      </c>
      <c r="E58" s="17" t="s">
        <v>30</v>
      </c>
      <c r="F58" s="17" t="s">
        <v>30</v>
      </c>
      <c r="G58" s="16" t="s">
        <v>29</v>
      </c>
      <c r="H58" s="29">
        <f t="shared" si="17"/>
        <v>1</v>
      </c>
      <c r="I58" s="30">
        <f t="shared" si="18"/>
        <v>0.3333333333</v>
      </c>
      <c r="J58" s="20">
        <f t="shared" si="11"/>
        <v>1</v>
      </c>
      <c r="K58" s="16" t="s">
        <v>29</v>
      </c>
      <c r="L58" s="16" t="s">
        <v>31</v>
      </c>
      <c r="M58" s="16" t="s">
        <v>29</v>
      </c>
      <c r="N58" s="18">
        <f t="shared" si="12"/>
        <v>2</v>
      </c>
      <c r="O58" s="30">
        <f t="shared" si="19"/>
        <v>0.6666666667</v>
      </c>
      <c r="P58" s="20">
        <f t="shared" si="14"/>
        <v>0.6666666667</v>
      </c>
      <c r="Q58" s="31" t="s">
        <v>33</v>
      </c>
      <c r="R58" s="31" t="s">
        <v>31</v>
      </c>
      <c r="S58" s="31" t="s">
        <v>29</v>
      </c>
      <c r="T58" s="29">
        <f t="shared" si="20"/>
        <v>3</v>
      </c>
      <c r="U58" s="30">
        <f t="shared" si="21"/>
        <v>1</v>
      </c>
      <c r="V58" s="32" t="s">
        <v>33</v>
      </c>
      <c r="W58" s="32" t="s">
        <v>31</v>
      </c>
      <c r="X58" s="32" t="s">
        <v>29</v>
      </c>
      <c r="Y58" s="24">
        <v>46132.0</v>
      </c>
      <c r="Z58" s="5"/>
      <c r="AA58" s="5"/>
      <c r="AB58" s="5"/>
    </row>
    <row r="59" ht="15.75" customHeight="1">
      <c r="A59" s="21">
        <v>23.0</v>
      </c>
      <c r="B59" s="21" t="s">
        <v>49</v>
      </c>
      <c r="C59" s="21" t="s">
        <v>26</v>
      </c>
      <c r="D59" s="21" t="s">
        <v>32</v>
      </c>
      <c r="E59" s="22" t="s">
        <v>28</v>
      </c>
      <c r="F59" s="22" t="s">
        <v>31</v>
      </c>
      <c r="G59" s="17" t="s">
        <v>30</v>
      </c>
      <c r="H59" s="29">
        <f t="shared" si="17"/>
        <v>2</v>
      </c>
      <c r="I59" s="30">
        <f t="shared" si="18"/>
        <v>0.6666666667</v>
      </c>
      <c r="J59" s="20">
        <f t="shared" si="11"/>
        <v>1</v>
      </c>
      <c r="K59" s="22" t="s">
        <v>28</v>
      </c>
      <c r="L59" s="22" t="s">
        <v>31</v>
      </c>
      <c r="M59" s="22" t="s">
        <v>31</v>
      </c>
      <c r="N59" s="18">
        <f t="shared" si="12"/>
        <v>3</v>
      </c>
      <c r="O59" s="30">
        <f t="shared" si="19"/>
        <v>1</v>
      </c>
      <c r="P59" s="20">
        <f t="shared" si="14"/>
        <v>1</v>
      </c>
      <c r="Q59" s="31" t="s">
        <v>28</v>
      </c>
      <c r="R59" s="31" t="s">
        <v>31</v>
      </c>
      <c r="S59" s="31" t="s">
        <v>33</v>
      </c>
      <c r="T59" s="29">
        <f t="shared" si="20"/>
        <v>2</v>
      </c>
      <c r="U59" s="30">
        <f t="shared" si="21"/>
        <v>0.6666666667</v>
      </c>
      <c r="V59" s="32" t="s">
        <v>28</v>
      </c>
      <c r="W59" s="32" t="s">
        <v>31</v>
      </c>
      <c r="X59" s="32" t="s">
        <v>31</v>
      </c>
      <c r="Y59" s="24">
        <v>46132.0</v>
      </c>
      <c r="Z59" s="5"/>
      <c r="AA59" s="5"/>
      <c r="AB59" s="5"/>
    </row>
    <row r="60" ht="15.75" customHeight="1">
      <c r="A60" s="21">
        <v>41.0</v>
      </c>
      <c r="B60" s="21" t="s">
        <v>49</v>
      </c>
      <c r="C60" s="21" t="s">
        <v>26</v>
      </c>
      <c r="D60" s="21" t="s">
        <v>34</v>
      </c>
      <c r="E60" s="17" t="s">
        <v>30</v>
      </c>
      <c r="F60" s="17" t="s">
        <v>30</v>
      </c>
      <c r="G60" s="16" t="s">
        <v>29</v>
      </c>
      <c r="H60" s="29">
        <f t="shared" si="17"/>
        <v>1</v>
      </c>
      <c r="I60" s="30">
        <f t="shared" si="18"/>
        <v>0.3333333333</v>
      </c>
      <c r="J60" s="20">
        <f t="shared" si="11"/>
        <v>1</v>
      </c>
      <c r="K60" s="16" t="s">
        <v>28</v>
      </c>
      <c r="L60" s="16" t="s">
        <v>28</v>
      </c>
      <c r="M60" s="16" t="s">
        <v>29</v>
      </c>
      <c r="N60" s="18">
        <f t="shared" si="12"/>
        <v>1</v>
      </c>
      <c r="O60" s="30">
        <f t="shared" si="19"/>
        <v>0.3333333333</v>
      </c>
      <c r="P60" s="20">
        <f t="shared" si="14"/>
        <v>0.3333333333</v>
      </c>
      <c r="Q60" s="31" t="s">
        <v>31</v>
      </c>
      <c r="R60" s="31" t="s">
        <v>28</v>
      </c>
      <c r="S60" s="31" t="s">
        <v>29</v>
      </c>
      <c r="T60" s="29">
        <f t="shared" si="20"/>
        <v>2</v>
      </c>
      <c r="U60" s="30">
        <f t="shared" si="21"/>
        <v>0.6666666667</v>
      </c>
      <c r="V60" s="32" t="s">
        <v>31</v>
      </c>
      <c r="W60" s="32" t="s">
        <v>33</v>
      </c>
      <c r="X60" s="32" t="s">
        <v>29</v>
      </c>
      <c r="Y60" s="24">
        <v>46132.0</v>
      </c>
      <c r="Z60" s="5"/>
      <c r="AA60" s="5"/>
      <c r="AB60" s="5"/>
    </row>
    <row r="61" ht="15.75" customHeight="1">
      <c r="A61" s="21">
        <v>42.0</v>
      </c>
      <c r="B61" s="21" t="s">
        <v>49</v>
      </c>
      <c r="C61" s="21" t="s">
        <v>26</v>
      </c>
      <c r="D61" s="21" t="s">
        <v>34</v>
      </c>
      <c r="E61" s="17" t="s">
        <v>30</v>
      </c>
      <c r="F61" s="17" t="s">
        <v>30</v>
      </c>
      <c r="G61" s="17" t="s">
        <v>30</v>
      </c>
      <c r="H61" s="29">
        <f t="shared" si="17"/>
        <v>0</v>
      </c>
      <c r="I61" s="30">
        <f t="shared" si="18"/>
        <v>0</v>
      </c>
      <c r="J61" s="20" t="str">
        <f t="shared" si="11"/>
        <v>XXX</v>
      </c>
      <c r="K61" s="22" t="s">
        <v>33</v>
      </c>
      <c r="L61" s="22" t="s">
        <v>28</v>
      </c>
      <c r="M61" s="22" t="s">
        <v>31</v>
      </c>
      <c r="N61" s="18">
        <f t="shared" si="12"/>
        <v>3</v>
      </c>
      <c r="O61" s="30">
        <f t="shared" si="19"/>
        <v>1</v>
      </c>
      <c r="P61" s="20">
        <f t="shared" si="14"/>
        <v>1</v>
      </c>
      <c r="Q61" s="31" t="s">
        <v>31</v>
      </c>
      <c r="R61" s="31" t="s">
        <v>28</v>
      </c>
      <c r="S61" s="31" t="s">
        <v>31</v>
      </c>
      <c r="T61" s="29">
        <f t="shared" si="20"/>
        <v>2</v>
      </c>
      <c r="U61" s="30">
        <f t="shared" si="21"/>
        <v>0.6666666667</v>
      </c>
      <c r="V61" s="32" t="s">
        <v>33</v>
      </c>
      <c r="W61" s="32" t="s">
        <v>28</v>
      </c>
      <c r="X61" s="32" t="s">
        <v>31</v>
      </c>
      <c r="Y61" s="24">
        <v>46132.0</v>
      </c>
      <c r="Z61" s="5"/>
      <c r="AA61" s="5"/>
      <c r="AB61" s="5"/>
    </row>
    <row r="62" ht="15.75" customHeight="1">
      <c r="A62" s="21">
        <v>43.0</v>
      </c>
      <c r="B62" s="21" t="s">
        <v>49</v>
      </c>
      <c r="C62" s="21" t="s">
        <v>26</v>
      </c>
      <c r="D62" s="21" t="s">
        <v>34</v>
      </c>
      <c r="E62" s="17" t="s">
        <v>30</v>
      </c>
      <c r="F62" s="17" t="s">
        <v>30</v>
      </c>
      <c r="G62" s="16" t="s">
        <v>33</v>
      </c>
      <c r="H62" s="29">
        <f t="shared" si="17"/>
        <v>1</v>
      </c>
      <c r="I62" s="30">
        <f t="shared" si="18"/>
        <v>0.3333333333</v>
      </c>
      <c r="J62" s="20">
        <f t="shared" si="11"/>
        <v>1</v>
      </c>
      <c r="K62" s="16" t="s">
        <v>31</v>
      </c>
      <c r="L62" s="16" t="s">
        <v>31</v>
      </c>
      <c r="M62" s="16" t="s">
        <v>33</v>
      </c>
      <c r="N62" s="18">
        <f t="shared" si="12"/>
        <v>1</v>
      </c>
      <c r="O62" s="30">
        <f t="shared" si="19"/>
        <v>0.3333333333</v>
      </c>
      <c r="P62" s="20">
        <f t="shared" si="14"/>
        <v>0.3333333333</v>
      </c>
      <c r="Q62" s="31" t="s">
        <v>29</v>
      </c>
      <c r="R62" s="31" t="s">
        <v>33</v>
      </c>
      <c r="S62" s="31" t="s">
        <v>33</v>
      </c>
      <c r="T62" s="29">
        <f t="shared" si="20"/>
        <v>2</v>
      </c>
      <c r="U62" s="30">
        <f t="shared" si="21"/>
        <v>0.6666666667</v>
      </c>
      <c r="V62" s="32" t="s">
        <v>29</v>
      </c>
      <c r="W62" s="32" t="s">
        <v>28</v>
      </c>
      <c r="X62" s="32" t="s">
        <v>33</v>
      </c>
      <c r="Y62" s="24">
        <v>46132.0</v>
      </c>
      <c r="Z62" s="5"/>
      <c r="AA62" s="5"/>
      <c r="AB62" s="5"/>
    </row>
    <row r="63" ht="15.75" customHeight="1">
      <c r="A63" s="21">
        <v>81.0</v>
      </c>
      <c r="B63" s="21" t="s">
        <v>49</v>
      </c>
      <c r="C63" s="21" t="s">
        <v>26</v>
      </c>
      <c r="D63" s="21" t="s">
        <v>50</v>
      </c>
      <c r="E63" s="17" t="s">
        <v>30</v>
      </c>
      <c r="F63" s="17" t="s">
        <v>30</v>
      </c>
      <c r="G63" s="22" t="s">
        <v>31</v>
      </c>
      <c r="H63" s="29">
        <f t="shared" si="17"/>
        <v>1</v>
      </c>
      <c r="I63" s="30">
        <f t="shared" si="18"/>
        <v>0.3333333333</v>
      </c>
      <c r="J63" s="20">
        <f t="shared" si="11"/>
        <v>1</v>
      </c>
      <c r="K63" s="22" t="s">
        <v>33</v>
      </c>
      <c r="L63" s="22" t="s">
        <v>33</v>
      </c>
      <c r="M63" s="22" t="s">
        <v>31</v>
      </c>
      <c r="N63" s="18">
        <f t="shared" si="12"/>
        <v>3</v>
      </c>
      <c r="O63" s="30">
        <f t="shared" si="19"/>
        <v>1</v>
      </c>
      <c r="P63" s="20">
        <f t="shared" si="14"/>
        <v>1</v>
      </c>
      <c r="Q63" s="31" t="s">
        <v>33</v>
      </c>
      <c r="R63" s="31" t="s">
        <v>33</v>
      </c>
      <c r="S63" s="31" t="s">
        <v>33</v>
      </c>
      <c r="T63" s="29">
        <f t="shared" si="20"/>
        <v>2</v>
      </c>
      <c r="U63" s="30">
        <f t="shared" si="21"/>
        <v>0.6666666667</v>
      </c>
      <c r="V63" s="32" t="s">
        <v>33</v>
      </c>
      <c r="W63" s="32" t="s">
        <v>33</v>
      </c>
      <c r="X63" s="32" t="s">
        <v>31</v>
      </c>
      <c r="Y63" s="24">
        <v>46132.0</v>
      </c>
      <c r="Z63" s="5"/>
      <c r="AA63" s="5"/>
      <c r="AB63" s="5"/>
    </row>
    <row r="64" ht="15.75" customHeight="1">
      <c r="A64" s="21">
        <v>82.0</v>
      </c>
      <c r="B64" s="21" t="s">
        <v>49</v>
      </c>
      <c r="C64" s="21" t="s">
        <v>26</v>
      </c>
      <c r="D64" s="21" t="s">
        <v>50</v>
      </c>
      <c r="E64" s="17" t="s">
        <v>30</v>
      </c>
      <c r="F64" s="17" t="s">
        <v>30</v>
      </c>
      <c r="G64" s="16" t="s">
        <v>31</v>
      </c>
      <c r="H64" s="29">
        <f t="shared" si="17"/>
        <v>1</v>
      </c>
      <c r="I64" s="30">
        <f t="shared" si="18"/>
        <v>0.3333333333</v>
      </c>
      <c r="J64" s="20">
        <f t="shared" si="11"/>
        <v>1</v>
      </c>
      <c r="K64" s="16" t="s">
        <v>33</v>
      </c>
      <c r="L64" s="16" t="s">
        <v>33</v>
      </c>
      <c r="M64" s="16" t="s">
        <v>31</v>
      </c>
      <c r="N64" s="18">
        <f t="shared" si="12"/>
        <v>3</v>
      </c>
      <c r="O64" s="30">
        <f t="shared" si="19"/>
        <v>1</v>
      </c>
      <c r="P64" s="20">
        <f t="shared" si="14"/>
        <v>1</v>
      </c>
      <c r="Q64" s="31" t="s">
        <v>33</v>
      </c>
      <c r="R64" s="31" t="s">
        <v>33</v>
      </c>
      <c r="S64" s="31" t="s">
        <v>31</v>
      </c>
      <c r="T64" s="29">
        <f t="shared" si="20"/>
        <v>3</v>
      </c>
      <c r="U64" s="30">
        <f t="shared" si="21"/>
        <v>1</v>
      </c>
      <c r="V64" s="32" t="s">
        <v>33</v>
      </c>
      <c r="W64" s="32" t="s">
        <v>33</v>
      </c>
      <c r="X64" s="32" t="s">
        <v>31</v>
      </c>
      <c r="Y64" s="24">
        <v>46132.0</v>
      </c>
      <c r="Z64" s="5"/>
      <c r="AA64" s="5"/>
      <c r="AB64" s="5"/>
    </row>
    <row r="65" ht="15.75" customHeight="1">
      <c r="A65" s="21">
        <v>85.0</v>
      </c>
      <c r="B65" s="21" t="s">
        <v>49</v>
      </c>
      <c r="C65" s="21" t="s">
        <v>26</v>
      </c>
      <c r="D65" s="21" t="s">
        <v>50</v>
      </c>
      <c r="E65" s="17" t="s">
        <v>30</v>
      </c>
      <c r="F65" s="17" t="s">
        <v>30</v>
      </c>
      <c r="G65" s="22" t="s">
        <v>31</v>
      </c>
      <c r="H65" s="29">
        <f t="shared" si="17"/>
        <v>0</v>
      </c>
      <c r="I65" s="30">
        <f t="shared" si="18"/>
        <v>0</v>
      </c>
      <c r="J65" s="20">
        <f t="shared" si="11"/>
        <v>0</v>
      </c>
      <c r="K65" s="22" t="s">
        <v>31</v>
      </c>
      <c r="L65" s="22" t="s">
        <v>33</v>
      </c>
      <c r="M65" s="22" t="s">
        <v>31</v>
      </c>
      <c r="N65" s="18">
        <f t="shared" si="12"/>
        <v>1</v>
      </c>
      <c r="O65" s="30">
        <f t="shared" si="19"/>
        <v>0.3333333333</v>
      </c>
      <c r="P65" s="20">
        <f t="shared" si="14"/>
        <v>0.3333333333</v>
      </c>
      <c r="Q65" s="31" t="s">
        <v>31</v>
      </c>
      <c r="R65" s="31" t="s">
        <v>33</v>
      </c>
      <c r="S65" s="31" t="s">
        <v>29</v>
      </c>
      <c r="T65" s="29">
        <f t="shared" si="20"/>
        <v>2</v>
      </c>
      <c r="U65" s="30">
        <f t="shared" si="21"/>
        <v>0.6666666667</v>
      </c>
      <c r="V65" s="32" t="s">
        <v>33</v>
      </c>
      <c r="W65" s="32" t="s">
        <v>33</v>
      </c>
      <c r="X65" s="32" t="s">
        <v>29</v>
      </c>
      <c r="Y65" s="24">
        <v>46132.0</v>
      </c>
      <c r="Z65" s="5"/>
      <c r="AA65" s="5"/>
      <c r="AB65" s="5"/>
    </row>
    <row r="66" ht="15.75" customHeight="1">
      <c r="A66" s="21">
        <v>91.0</v>
      </c>
      <c r="B66" s="21" t="s">
        <v>49</v>
      </c>
      <c r="C66" s="21" t="s">
        <v>36</v>
      </c>
      <c r="D66" s="21" t="s">
        <v>37</v>
      </c>
      <c r="E66" s="17" t="s">
        <v>30</v>
      </c>
      <c r="F66" s="17" t="s">
        <v>30</v>
      </c>
      <c r="G66" s="17" t="s">
        <v>30</v>
      </c>
      <c r="H66" s="29">
        <f t="shared" si="17"/>
        <v>0</v>
      </c>
      <c r="I66" s="30">
        <f t="shared" si="18"/>
        <v>0</v>
      </c>
      <c r="J66" s="20" t="str">
        <f t="shared" si="11"/>
        <v>XXX</v>
      </c>
      <c r="K66" s="16" t="s">
        <v>28</v>
      </c>
      <c r="L66" s="16" t="s">
        <v>29</v>
      </c>
      <c r="M66" s="16" t="s">
        <v>33</v>
      </c>
      <c r="N66" s="18">
        <f t="shared" si="12"/>
        <v>1</v>
      </c>
      <c r="O66" s="30">
        <f t="shared" si="19"/>
        <v>0.3333333333</v>
      </c>
      <c r="P66" s="20">
        <f t="shared" si="14"/>
        <v>0.3333333333</v>
      </c>
      <c r="Q66" s="31" t="s">
        <v>29</v>
      </c>
      <c r="R66" s="31" t="s">
        <v>33</v>
      </c>
      <c r="S66" s="31" t="s">
        <v>28</v>
      </c>
      <c r="T66" s="29">
        <f t="shared" si="20"/>
        <v>2</v>
      </c>
      <c r="U66" s="30">
        <f t="shared" si="21"/>
        <v>0.6666666667</v>
      </c>
      <c r="V66" s="32" t="s">
        <v>29</v>
      </c>
      <c r="W66" s="32" t="s">
        <v>33</v>
      </c>
      <c r="X66" s="32" t="s">
        <v>33</v>
      </c>
      <c r="Y66" s="24">
        <v>46132.0</v>
      </c>
      <c r="Z66" s="5"/>
      <c r="AA66" s="5"/>
      <c r="AB66" s="5"/>
    </row>
    <row r="67" ht="15.75" customHeight="1">
      <c r="A67" s="21">
        <v>92.0</v>
      </c>
      <c r="B67" s="21" t="s">
        <v>49</v>
      </c>
      <c r="C67" s="21" t="s">
        <v>36</v>
      </c>
      <c r="D67" s="21" t="s">
        <v>37</v>
      </c>
      <c r="E67" s="17" t="s">
        <v>30</v>
      </c>
      <c r="F67" s="17" t="s">
        <v>30</v>
      </c>
      <c r="G67" s="17" t="s">
        <v>30</v>
      </c>
      <c r="H67" s="29">
        <f t="shared" si="17"/>
        <v>0</v>
      </c>
      <c r="I67" s="30">
        <f t="shared" si="18"/>
        <v>0</v>
      </c>
      <c r="J67" s="20" t="str">
        <f t="shared" si="11"/>
        <v>XXX</v>
      </c>
      <c r="K67" s="22" t="s">
        <v>28</v>
      </c>
      <c r="L67" s="22" t="s">
        <v>33</v>
      </c>
      <c r="M67" s="22" t="s">
        <v>33</v>
      </c>
      <c r="N67" s="18">
        <f t="shared" si="12"/>
        <v>1</v>
      </c>
      <c r="O67" s="30">
        <f t="shared" si="19"/>
        <v>0.3333333333</v>
      </c>
      <c r="P67" s="20">
        <f t="shared" si="14"/>
        <v>0.3333333333</v>
      </c>
      <c r="Q67" s="31" t="s">
        <v>28</v>
      </c>
      <c r="R67" s="31" t="s">
        <v>33</v>
      </c>
      <c r="S67" s="31" t="s">
        <v>28</v>
      </c>
      <c r="T67" s="29">
        <f t="shared" si="20"/>
        <v>2</v>
      </c>
      <c r="U67" s="30">
        <f t="shared" si="21"/>
        <v>0.6666666667</v>
      </c>
      <c r="V67" s="32" t="s">
        <v>28</v>
      </c>
      <c r="W67" s="32" t="s">
        <v>29</v>
      </c>
      <c r="X67" s="32" t="s">
        <v>28</v>
      </c>
      <c r="Y67" s="24">
        <v>46132.0</v>
      </c>
      <c r="Z67" s="5"/>
      <c r="AA67" s="5"/>
      <c r="AB67" s="5"/>
    </row>
    <row r="68" ht="15.75" customHeight="1">
      <c r="A68" s="21">
        <v>93.0</v>
      </c>
      <c r="B68" s="21" t="s">
        <v>49</v>
      </c>
      <c r="C68" s="21" t="s">
        <v>36</v>
      </c>
      <c r="D68" s="21" t="s">
        <v>37</v>
      </c>
      <c r="E68" s="17" t="s">
        <v>30</v>
      </c>
      <c r="F68" s="16" t="s">
        <v>33</v>
      </c>
      <c r="G68" s="17" t="s">
        <v>30</v>
      </c>
      <c r="H68" s="29">
        <f t="shared" si="17"/>
        <v>1</v>
      </c>
      <c r="I68" s="30">
        <f t="shared" si="18"/>
        <v>0.3333333333</v>
      </c>
      <c r="J68" s="20">
        <f t="shared" si="11"/>
        <v>1</v>
      </c>
      <c r="K68" s="16" t="s">
        <v>33</v>
      </c>
      <c r="L68" s="16" t="s">
        <v>33</v>
      </c>
      <c r="M68" s="16" t="s">
        <v>28</v>
      </c>
      <c r="N68" s="18">
        <f t="shared" si="12"/>
        <v>2</v>
      </c>
      <c r="O68" s="30">
        <f t="shared" si="19"/>
        <v>0.6666666667</v>
      </c>
      <c r="P68" s="20">
        <f t="shared" si="14"/>
        <v>0.6666666667</v>
      </c>
      <c r="Q68" s="31" t="s">
        <v>29</v>
      </c>
      <c r="R68" s="31" t="s">
        <v>33</v>
      </c>
      <c r="S68" s="31" t="s">
        <v>33</v>
      </c>
      <c r="T68" s="29">
        <f t="shared" si="20"/>
        <v>2</v>
      </c>
      <c r="U68" s="30">
        <f t="shared" si="21"/>
        <v>0.6666666667</v>
      </c>
      <c r="V68" s="32" t="s">
        <v>29</v>
      </c>
      <c r="W68" s="32" t="s">
        <v>33</v>
      </c>
      <c r="X68" s="32" t="s">
        <v>28</v>
      </c>
      <c r="Y68" s="24">
        <v>46132.0</v>
      </c>
      <c r="Z68" s="5"/>
      <c r="AA68" s="5"/>
      <c r="AB68" s="5"/>
    </row>
    <row r="69" ht="15.75" customHeight="1">
      <c r="A69" s="21">
        <v>101.0</v>
      </c>
      <c r="B69" s="21" t="s">
        <v>49</v>
      </c>
      <c r="C69" s="21" t="s">
        <v>36</v>
      </c>
      <c r="D69" s="21" t="s">
        <v>38</v>
      </c>
      <c r="E69" s="17" t="s">
        <v>30</v>
      </c>
      <c r="F69" s="17" t="s">
        <v>30</v>
      </c>
      <c r="G69" s="17" t="s">
        <v>30</v>
      </c>
      <c r="H69" s="29">
        <f t="shared" si="17"/>
        <v>0</v>
      </c>
      <c r="I69" s="30">
        <f t="shared" si="18"/>
        <v>0</v>
      </c>
      <c r="J69" s="20" t="str">
        <f t="shared" si="11"/>
        <v>XXX</v>
      </c>
      <c r="K69" s="22" t="s">
        <v>33</v>
      </c>
      <c r="L69" s="22" t="s">
        <v>33</v>
      </c>
      <c r="M69" s="22" t="s">
        <v>33</v>
      </c>
      <c r="N69" s="18">
        <f t="shared" si="12"/>
        <v>1</v>
      </c>
      <c r="O69" s="30">
        <f t="shared" si="19"/>
        <v>0.3333333333</v>
      </c>
      <c r="P69" s="20">
        <f t="shared" si="14"/>
        <v>0.3333333333</v>
      </c>
      <c r="Q69" s="31" t="s">
        <v>31</v>
      </c>
      <c r="R69" s="31" t="s">
        <v>29</v>
      </c>
      <c r="S69" s="31" t="s">
        <v>31</v>
      </c>
      <c r="T69" s="29">
        <f t="shared" si="20"/>
        <v>2</v>
      </c>
      <c r="U69" s="30">
        <f t="shared" si="21"/>
        <v>0.6666666667</v>
      </c>
      <c r="V69" s="32" t="s">
        <v>31</v>
      </c>
      <c r="W69" s="32" t="s">
        <v>29</v>
      </c>
      <c r="X69" s="32" t="s">
        <v>33</v>
      </c>
      <c r="Y69" s="24">
        <v>46132.0</v>
      </c>
      <c r="Z69" s="5"/>
      <c r="AA69" s="5"/>
      <c r="AB69" s="5"/>
    </row>
    <row r="70" ht="15.75" customHeight="1">
      <c r="A70" s="21">
        <v>103.0</v>
      </c>
      <c r="B70" s="21" t="s">
        <v>49</v>
      </c>
      <c r="C70" s="21" t="s">
        <v>36</v>
      </c>
      <c r="D70" s="21" t="s">
        <v>38</v>
      </c>
      <c r="E70" s="17" t="s">
        <v>30</v>
      </c>
      <c r="F70" s="17" t="s">
        <v>30</v>
      </c>
      <c r="G70" s="16" t="s">
        <v>29</v>
      </c>
      <c r="H70" s="29">
        <f t="shared" si="17"/>
        <v>0</v>
      </c>
      <c r="I70" s="30">
        <f t="shared" si="18"/>
        <v>0</v>
      </c>
      <c r="J70" s="20">
        <f t="shared" si="11"/>
        <v>0</v>
      </c>
      <c r="K70" s="16" t="s">
        <v>29</v>
      </c>
      <c r="L70" s="16" t="s">
        <v>29</v>
      </c>
      <c r="M70" s="16" t="s">
        <v>29</v>
      </c>
      <c r="N70" s="18">
        <f t="shared" si="12"/>
        <v>0</v>
      </c>
      <c r="O70" s="30">
        <f t="shared" si="19"/>
        <v>0</v>
      </c>
      <c r="P70" s="20">
        <f t="shared" si="14"/>
        <v>0</v>
      </c>
      <c r="Q70" s="31" t="s">
        <v>33</v>
      </c>
      <c r="R70" s="31" t="s">
        <v>28</v>
      </c>
      <c r="S70" s="31" t="s">
        <v>31</v>
      </c>
      <c r="T70" s="29">
        <f t="shared" si="20"/>
        <v>2</v>
      </c>
      <c r="U70" s="30">
        <f t="shared" si="21"/>
        <v>0.6666666667</v>
      </c>
      <c r="V70" s="32" t="s">
        <v>31</v>
      </c>
      <c r="W70" s="32" t="s">
        <v>28</v>
      </c>
      <c r="X70" s="32" t="s">
        <v>31</v>
      </c>
      <c r="Y70" s="24">
        <v>46132.0</v>
      </c>
      <c r="Z70" s="5"/>
      <c r="AA70" s="5"/>
      <c r="AB70" s="5"/>
    </row>
    <row r="71" ht="15.75" customHeight="1">
      <c r="A71" s="21">
        <v>104.0</v>
      </c>
      <c r="B71" s="21" t="s">
        <v>49</v>
      </c>
      <c r="C71" s="21" t="s">
        <v>36</v>
      </c>
      <c r="D71" s="21" t="s">
        <v>38</v>
      </c>
      <c r="E71" s="22" t="s">
        <v>31</v>
      </c>
      <c r="F71" s="22" t="s">
        <v>28</v>
      </c>
      <c r="G71" s="17" t="s">
        <v>30</v>
      </c>
      <c r="H71" s="29">
        <f t="shared" si="17"/>
        <v>2</v>
      </c>
      <c r="I71" s="30">
        <f t="shared" si="18"/>
        <v>0.6666666667</v>
      </c>
      <c r="J71" s="20">
        <f t="shared" si="11"/>
        <v>1</v>
      </c>
      <c r="K71" s="22" t="s">
        <v>31</v>
      </c>
      <c r="L71" s="22" t="s">
        <v>28</v>
      </c>
      <c r="M71" s="22" t="s">
        <v>29</v>
      </c>
      <c r="N71" s="18">
        <f t="shared" si="12"/>
        <v>2</v>
      </c>
      <c r="O71" s="30">
        <f t="shared" si="19"/>
        <v>0.6666666667</v>
      </c>
      <c r="P71" s="20">
        <f t="shared" si="14"/>
        <v>0.6666666667</v>
      </c>
      <c r="Q71" s="31" t="s">
        <v>31</v>
      </c>
      <c r="R71" s="31" t="s">
        <v>28</v>
      </c>
      <c r="S71" s="31" t="s">
        <v>33</v>
      </c>
      <c r="T71" s="29">
        <f t="shared" si="20"/>
        <v>2</v>
      </c>
      <c r="U71" s="30">
        <f t="shared" si="21"/>
        <v>0.6666666667</v>
      </c>
      <c r="V71" s="32" t="s">
        <v>31</v>
      </c>
      <c r="W71" s="32" t="s">
        <v>28</v>
      </c>
      <c r="X71" s="32" t="s">
        <v>28</v>
      </c>
      <c r="Y71" s="24">
        <v>46132.0</v>
      </c>
      <c r="Z71" s="5"/>
      <c r="AA71" s="5"/>
      <c r="AB71" s="5"/>
    </row>
    <row r="72" ht="15.75" customHeight="1">
      <c r="A72" s="21">
        <v>111.0</v>
      </c>
      <c r="B72" s="21" t="s">
        <v>49</v>
      </c>
      <c r="C72" s="21" t="s">
        <v>36</v>
      </c>
      <c r="D72" s="21" t="s">
        <v>47</v>
      </c>
      <c r="E72" s="16" t="s">
        <v>33</v>
      </c>
      <c r="F72" s="17" t="s">
        <v>30</v>
      </c>
      <c r="G72" s="17" t="s">
        <v>30</v>
      </c>
      <c r="H72" s="29">
        <f t="shared" si="17"/>
        <v>1</v>
      </c>
      <c r="I72" s="30">
        <f t="shared" si="18"/>
        <v>0.3333333333</v>
      </c>
      <c r="J72" s="20">
        <f t="shared" si="11"/>
        <v>1</v>
      </c>
      <c r="K72" s="16" t="s">
        <v>33</v>
      </c>
      <c r="L72" s="16" t="s">
        <v>29</v>
      </c>
      <c r="M72" s="16" t="s">
        <v>33</v>
      </c>
      <c r="N72" s="18">
        <f t="shared" si="12"/>
        <v>2</v>
      </c>
      <c r="O72" s="30">
        <f t="shared" si="19"/>
        <v>0.6666666667</v>
      </c>
      <c r="P72" s="20">
        <f t="shared" si="14"/>
        <v>0.6666666667</v>
      </c>
      <c r="Q72" s="31" t="s">
        <v>33</v>
      </c>
      <c r="R72" s="31" t="s">
        <v>29</v>
      </c>
      <c r="S72" s="31" t="s">
        <v>28</v>
      </c>
      <c r="T72" s="29">
        <f t="shared" si="20"/>
        <v>3</v>
      </c>
      <c r="U72" s="30">
        <f t="shared" si="21"/>
        <v>1</v>
      </c>
      <c r="V72" s="32" t="s">
        <v>33</v>
      </c>
      <c r="W72" s="32" t="s">
        <v>29</v>
      </c>
      <c r="X72" s="32" t="s">
        <v>28</v>
      </c>
      <c r="Y72" s="24">
        <v>46132.0</v>
      </c>
      <c r="Z72" s="5"/>
      <c r="AA72" s="5"/>
      <c r="AB72" s="5"/>
    </row>
    <row r="73" ht="15.75" customHeight="1">
      <c r="A73" s="21">
        <v>112.0</v>
      </c>
      <c r="B73" s="21" t="s">
        <v>49</v>
      </c>
      <c r="C73" s="21" t="s">
        <v>36</v>
      </c>
      <c r="D73" s="21" t="s">
        <v>47</v>
      </c>
      <c r="E73" s="17" t="s">
        <v>30</v>
      </c>
      <c r="F73" s="17" t="s">
        <v>30</v>
      </c>
      <c r="G73" s="17" t="s">
        <v>30</v>
      </c>
      <c r="H73" s="29">
        <f t="shared" si="17"/>
        <v>0</v>
      </c>
      <c r="I73" s="30">
        <f t="shared" si="18"/>
        <v>0</v>
      </c>
      <c r="J73" s="20" t="str">
        <f t="shared" si="11"/>
        <v>XXX</v>
      </c>
      <c r="K73" s="22" t="s">
        <v>29</v>
      </c>
      <c r="L73" s="22" t="s">
        <v>28</v>
      </c>
      <c r="M73" s="22" t="s">
        <v>29</v>
      </c>
      <c r="N73" s="18">
        <f t="shared" si="12"/>
        <v>2</v>
      </c>
      <c r="O73" s="30">
        <f t="shared" si="19"/>
        <v>0.6666666667</v>
      </c>
      <c r="P73" s="20">
        <f t="shared" si="14"/>
        <v>0.6666666667</v>
      </c>
      <c r="Q73" s="31" t="s">
        <v>33</v>
      </c>
      <c r="R73" s="31" t="s">
        <v>28</v>
      </c>
      <c r="S73" s="31" t="s">
        <v>33</v>
      </c>
      <c r="T73" s="29">
        <f t="shared" si="20"/>
        <v>2</v>
      </c>
      <c r="U73" s="30">
        <f t="shared" si="21"/>
        <v>0.6666666667</v>
      </c>
      <c r="V73" s="32" t="s">
        <v>33</v>
      </c>
      <c r="W73" s="32" t="s">
        <v>28</v>
      </c>
      <c r="X73" s="32" t="s">
        <v>29</v>
      </c>
      <c r="Y73" s="24">
        <v>46132.0</v>
      </c>
      <c r="Z73" s="5"/>
      <c r="AA73" s="5"/>
      <c r="AB73" s="5"/>
    </row>
    <row r="74" ht="15.75" customHeight="1">
      <c r="A74" s="21">
        <v>113.0</v>
      </c>
      <c r="B74" s="21" t="s">
        <v>49</v>
      </c>
      <c r="C74" s="21" t="s">
        <v>36</v>
      </c>
      <c r="D74" s="21" t="s">
        <v>47</v>
      </c>
      <c r="E74" s="16" t="s">
        <v>31</v>
      </c>
      <c r="F74" s="17" t="s">
        <v>30</v>
      </c>
      <c r="G74" s="17" t="s">
        <v>30</v>
      </c>
      <c r="H74" s="29">
        <f t="shared" si="17"/>
        <v>1</v>
      </c>
      <c r="I74" s="30">
        <f t="shared" si="18"/>
        <v>0.3333333333</v>
      </c>
      <c r="J74" s="20">
        <f t="shared" si="11"/>
        <v>1</v>
      </c>
      <c r="K74" s="16" t="s">
        <v>31</v>
      </c>
      <c r="L74" s="16" t="s">
        <v>29</v>
      </c>
      <c r="M74" s="16" t="s">
        <v>29</v>
      </c>
      <c r="N74" s="18">
        <f t="shared" si="12"/>
        <v>1</v>
      </c>
      <c r="O74" s="30">
        <f t="shared" si="19"/>
        <v>0.3333333333</v>
      </c>
      <c r="P74" s="20">
        <f t="shared" si="14"/>
        <v>0.3333333333</v>
      </c>
      <c r="Q74" s="31" t="s">
        <v>31</v>
      </c>
      <c r="R74" s="31" t="s">
        <v>29</v>
      </c>
      <c r="S74" s="31" t="s">
        <v>33</v>
      </c>
      <c r="T74" s="29">
        <f t="shared" si="20"/>
        <v>2</v>
      </c>
      <c r="U74" s="30">
        <f t="shared" si="21"/>
        <v>0.6666666667</v>
      </c>
      <c r="V74" s="32" t="s">
        <v>31</v>
      </c>
      <c r="W74" s="32" t="s">
        <v>33</v>
      </c>
      <c r="X74" s="32" t="s">
        <v>33</v>
      </c>
      <c r="Y74" s="24">
        <v>46132.0</v>
      </c>
      <c r="Z74" s="5"/>
      <c r="AA74" s="5"/>
      <c r="AB74" s="5"/>
    </row>
    <row r="75" ht="15.75" customHeight="1">
      <c r="A75" s="21">
        <v>121.0</v>
      </c>
      <c r="B75" s="21" t="s">
        <v>49</v>
      </c>
      <c r="C75" s="21" t="s">
        <v>36</v>
      </c>
      <c r="D75" s="21" t="s">
        <v>51</v>
      </c>
      <c r="E75" s="22" t="s">
        <v>33</v>
      </c>
      <c r="F75" s="17" t="s">
        <v>30</v>
      </c>
      <c r="G75" s="17" t="s">
        <v>30</v>
      </c>
      <c r="H75" s="29">
        <f t="shared" si="17"/>
        <v>1</v>
      </c>
      <c r="I75" s="30">
        <f t="shared" si="18"/>
        <v>0.3333333333</v>
      </c>
      <c r="J75" s="20">
        <f t="shared" si="11"/>
        <v>1</v>
      </c>
      <c r="K75" s="22" t="s">
        <v>33</v>
      </c>
      <c r="L75" s="22" t="s">
        <v>29</v>
      </c>
      <c r="M75" s="22" t="s">
        <v>29</v>
      </c>
      <c r="N75" s="18">
        <f t="shared" si="12"/>
        <v>3</v>
      </c>
      <c r="O75" s="30">
        <f t="shared" si="19"/>
        <v>1</v>
      </c>
      <c r="P75" s="20">
        <f t="shared" si="14"/>
        <v>1</v>
      </c>
      <c r="Q75" s="31" t="s">
        <v>33</v>
      </c>
      <c r="R75" s="31" t="s">
        <v>29</v>
      </c>
      <c r="S75" s="31" t="s">
        <v>29</v>
      </c>
      <c r="T75" s="29">
        <f t="shared" si="20"/>
        <v>3</v>
      </c>
      <c r="U75" s="30">
        <f t="shared" si="21"/>
        <v>1</v>
      </c>
      <c r="V75" s="32" t="s">
        <v>33</v>
      </c>
      <c r="W75" s="32" t="s">
        <v>29</v>
      </c>
      <c r="X75" s="32" t="s">
        <v>29</v>
      </c>
      <c r="Y75" s="24">
        <v>46132.0</v>
      </c>
      <c r="Z75" s="5"/>
      <c r="AA75" s="5"/>
      <c r="AB75" s="5"/>
    </row>
    <row r="76" ht="15.75" customHeight="1">
      <c r="A76" s="21">
        <v>122.0</v>
      </c>
      <c r="B76" s="21" t="s">
        <v>49</v>
      </c>
      <c r="C76" s="21" t="s">
        <v>36</v>
      </c>
      <c r="D76" s="21" t="s">
        <v>51</v>
      </c>
      <c r="E76" s="17" t="s">
        <v>30</v>
      </c>
      <c r="F76" s="17" t="s">
        <v>30</v>
      </c>
      <c r="G76" s="17" t="s">
        <v>30</v>
      </c>
      <c r="H76" s="29">
        <f t="shared" si="17"/>
        <v>0</v>
      </c>
      <c r="I76" s="30">
        <f t="shared" si="18"/>
        <v>0</v>
      </c>
      <c r="J76" s="20" t="str">
        <f t="shared" si="11"/>
        <v>XXX</v>
      </c>
      <c r="K76" s="16" t="s">
        <v>33</v>
      </c>
      <c r="L76" s="16" t="s">
        <v>29</v>
      </c>
      <c r="M76" s="16" t="s">
        <v>33</v>
      </c>
      <c r="N76" s="18">
        <f t="shared" si="12"/>
        <v>2</v>
      </c>
      <c r="O76" s="30">
        <f t="shared" si="19"/>
        <v>0.6666666667</v>
      </c>
      <c r="P76" s="20">
        <f t="shared" si="14"/>
        <v>0.6666666667</v>
      </c>
      <c r="Q76" s="31" t="s">
        <v>33</v>
      </c>
      <c r="R76" s="31" t="s">
        <v>29</v>
      </c>
      <c r="S76" s="31" t="s">
        <v>33</v>
      </c>
      <c r="T76" s="29">
        <f t="shared" si="20"/>
        <v>2</v>
      </c>
      <c r="U76" s="30">
        <f t="shared" si="21"/>
        <v>0.6666666667</v>
      </c>
      <c r="V76" s="32" t="s">
        <v>33</v>
      </c>
      <c r="W76" s="32" t="s">
        <v>29</v>
      </c>
      <c r="X76" s="32" t="s">
        <v>28</v>
      </c>
      <c r="Y76" s="24">
        <v>46132.0</v>
      </c>
      <c r="Z76" s="5"/>
      <c r="AA76" s="5"/>
      <c r="AB76" s="5"/>
    </row>
    <row r="77" ht="15.75" customHeight="1">
      <c r="A77" s="21">
        <v>123.0</v>
      </c>
      <c r="B77" s="21" t="s">
        <v>49</v>
      </c>
      <c r="C77" s="21" t="s">
        <v>36</v>
      </c>
      <c r="D77" s="21" t="s">
        <v>51</v>
      </c>
      <c r="E77" s="17" t="s">
        <v>30</v>
      </c>
      <c r="F77" s="17" t="s">
        <v>30</v>
      </c>
      <c r="G77" s="17" t="s">
        <v>30</v>
      </c>
      <c r="H77" s="29">
        <f t="shared" si="17"/>
        <v>0</v>
      </c>
      <c r="I77" s="30">
        <f t="shared" si="18"/>
        <v>0</v>
      </c>
      <c r="J77" s="20" t="str">
        <f t="shared" si="11"/>
        <v>XXX</v>
      </c>
      <c r="K77" s="22" t="s">
        <v>29</v>
      </c>
      <c r="L77" s="22" t="s">
        <v>28</v>
      </c>
      <c r="M77" s="22" t="s">
        <v>33</v>
      </c>
      <c r="N77" s="18">
        <f t="shared" si="12"/>
        <v>1</v>
      </c>
      <c r="O77" s="30">
        <f t="shared" si="19"/>
        <v>0.3333333333</v>
      </c>
      <c r="P77" s="20">
        <f t="shared" si="14"/>
        <v>0.3333333333</v>
      </c>
      <c r="Q77" s="31" t="s">
        <v>28</v>
      </c>
      <c r="R77" s="31" t="s">
        <v>28</v>
      </c>
      <c r="S77" s="31" t="s">
        <v>29</v>
      </c>
      <c r="T77" s="29">
        <f t="shared" si="20"/>
        <v>2</v>
      </c>
      <c r="U77" s="30">
        <f t="shared" si="21"/>
        <v>0.6666666667</v>
      </c>
      <c r="V77" s="32" t="s">
        <v>28</v>
      </c>
      <c r="W77" s="32" t="s">
        <v>28</v>
      </c>
      <c r="X77" s="32" t="s">
        <v>28</v>
      </c>
      <c r="Y77" s="24">
        <v>46132.0</v>
      </c>
      <c r="Z77" s="5"/>
      <c r="AA77" s="5"/>
      <c r="AB77" s="5"/>
    </row>
    <row r="78" ht="15.75" customHeight="1">
      <c r="A78" s="21">
        <v>221.0</v>
      </c>
      <c r="B78" s="21" t="s">
        <v>49</v>
      </c>
      <c r="C78" s="21" t="s">
        <v>41</v>
      </c>
      <c r="D78" s="21" t="s">
        <v>42</v>
      </c>
      <c r="E78" s="17" t="s">
        <v>30</v>
      </c>
      <c r="F78" s="17" t="s">
        <v>30</v>
      </c>
      <c r="G78" s="16" t="s">
        <v>31</v>
      </c>
      <c r="H78" s="29">
        <f t="shared" si="17"/>
        <v>1</v>
      </c>
      <c r="I78" s="30">
        <f t="shared" si="18"/>
        <v>0.3333333333</v>
      </c>
      <c r="J78" s="20">
        <f t="shared" si="11"/>
        <v>1</v>
      </c>
      <c r="K78" s="16" t="s">
        <v>29</v>
      </c>
      <c r="L78" s="16" t="s">
        <v>28</v>
      </c>
      <c r="M78" s="16" t="s">
        <v>31</v>
      </c>
      <c r="N78" s="18">
        <f t="shared" si="12"/>
        <v>2</v>
      </c>
      <c r="O78" s="30">
        <f t="shared" si="19"/>
        <v>0.6666666667</v>
      </c>
      <c r="P78" s="20">
        <f t="shared" si="14"/>
        <v>0.6666666667</v>
      </c>
      <c r="Q78" s="31" t="s">
        <v>29</v>
      </c>
      <c r="R78" s="31" t="s">
        <v>29</v>
      </c>
      <c r="S78" s="31" t="s">
        <v>31</v>
      </c>
      <c r="T78" s="29">
        <f t="shared" si="20"/>
        <v>1</v>
      </c>
      <c r="U78" s="30">
        <f t="shared" si="21"/>
        <v>0.3333333333</v>
      </c>
      <c r="V78" s="32" t="s">
        <v>33</v>
      </c>
      <c r="W78" s="32" t="s">
        <v>28</v>
      </c>
      <c r="X78" s="32" t="s">
        <v>31</v>
      </c>
      <c r="Y78" s="24">
        <v>46132.0</v>
      </c>
      <c r="Z78" s="5"/>
      <c r="AA78" s="5"/>
      <c r="AB78" s="5"/>
    </row>
    <row r="79" ht="15.75" customHeight="1">
      <c r="A79" s="21">
        <v>222.0</v>
      </c>
      <c r="B79" s="21" t="s">
        <v>49</v>
      </c>
      <c r="C79" s="21" t="s">
        <v>41</v>
      </c>
      <c r="D79" s="21" t="s">
        <v>42</v>
      </c>
      <c r="E79" s="17" t="s">
        <v>30</v>
      </c>
      <c r="F79" s="22" t="s">
        <v>29</v>
      </c>
      <c r="G79" s="17" t="s">
        <v>30</v>
      </c>
      <c r="H79" s="29">
        <f t="shared" si="17"/>
        <v>1</v>
      </c>
      <c r="I79" s="30">
        <f t="shared" si="18"/>
        <v>0.3333333333</v>
      </c>
      <c r="J79" s="20">
        <f t="shared" si="11"/>
        <v>1</v>
      </c>
      <c r="K79" s="22" t="s">
        <v>28</v>
      </c>
      <c r="L79" s="22" t="s">
        <v>29</v>
      </c>
      <c r="M79" s="22" t="s">
        <v>29</v>
      </c>
      <c r="N79" s="18">
        <f t="shared" si="12"/>
        <v>1</v>
      </c>
      <c r="O79" s="30">
        <f t="shared" si="19"/>
        <v>0.3333333333</v>
      </c>
      <c r="P79" s="20">
        <f t="shared" si="14"/>
        <v>0.3333333333</v>
      </c>
      <c r="Q79" s="31" t="s">
        <v>29</v>
      </c>
      <c r="R79" s="31" t="s">
        <v>29</v>
      </c>
      <c r="S79" s="31" t="s">
        <v>33</v>
      </c>
      <c r="T79" s="29">
        <f t="shared" si="20"/>
        <v>2</v>
      </c>
      <c r="U79" s="30">
        <f t="shared" si="21"/>
        <v>0.6666666667</v>
      </c>
      <c r="V79" s="32" t="s">
        <v>31</v>
      </c>
      <c r="W79" s="32" t="s">
        <v>29</v>
      </c>
      <c r="X79" s="32" t="s">
        <v>33</v>
      </c>
      <c r="Y79" s="24">
        <v>46132.0</v>
      </c>
      <c r="Z79" s="5"/>
      <c r="AA79" s="5"/>
      <c r="AB79" s="5"/>
    </row>
    <row r="80" ht="15.75" customHeight="1">
      <c r="A80" s="21">
        <v>223.0</v>
      </c>
      <c r="B80" s="21" t="s">
        <v>49</v>
      </c>
      <c r="C80" s="21" t="s">
        <v>41</v>
      </c>
      <c r="D80" s="21" t="s">
        <v>42</v>
      </c>
      <c r="E80" s="16" t="s">
        <v>28</v>
      </c>
      <c r="F80" s="17" t="s">
        <v>30</v>
      </c>
      <c r="G80" s="16" t="s">
        <v>28</v>
      </c>
      <c r="H80" s="29">
        <f t="shared" si="17"/>
        <v>1</v>
      </c>
      <c r="I80" s="30">
        <f t="shared" si="18"/>
        <v>0.3333333333</v>
      </c>
      <c r="J80" s="20">
        <f t="shared" si="11"/>
        <v>0.5</v>
      </c>
      <c r="K80" s="16" t="s">
        <v>28</v>
      </c>
      <c r="L80" s="16" t="s">
        <v>33</v>
      </c>
      <c r="M80" s="16" t="s">
        <v>28</v>
      </c>
      <c r="N80" s="18">
        <f t="shared" si="12"/>
        <v>2</v>
      </c>
      <c r="O80" s="30">
        <f t="shared" si="19"/>
        <v>0.6666666667</v>
      </c>
      <c r="P80" s="20">
        <f t="shared" si="14"/>
        <v>0.6666666667</v>
      </c>
      <c r="Q80" s="31" t="s">
        <v>29</v>
      </c>
      <c r="R80" s="31" t="s">
        <v>33</v>
      </c>
      <c r="S80" s="31" t="s">
        <v>28</v>
      </c>
      <c r="T80" s="29">
        <f t="shared" si="20"/>
        <v>3</v>
      </c>
      <c r="U80" s="30">
        <f t="shared" si="21"/>
        <v>1</v>
      </c>
      <c r="V80" s="32" t="s">
        <v>29</v>
      </c>
      <c r="W80" s="32" t="s">
        <v>33</v>
      </c>
      <c r="X80" s="32" t="s">
        <v>28</v>
      </c>
      <c r="Y80" s="24">
        <v>46132.0</v>
      </c>
      <c r="Z80" s="5"/>
      <c r="AA80" s="5"/>
      <c r="AB80" s="5"/>
    </row>
    <row r="81" ht="15.75" customHeight="1">
      <c r="A81" s="21">
        <v>231.0</v>
      </c>
      <c r="B81" s="21" t="s">
        <v>49</v>
      </c>
      <c r="C81" s="21" t="s">
        <v>41</v>
      </c>
      <c r="D81" s="21" t="s">
        <v>43</v>
      </c>
      <c r="E81" s="17" t="s">
        <v>30</v>
      </c>
      <c r="F81" s="17" t="s">
        <v>30</v>
      </c>
      <c r="G81" s="22" t="s">
        <v>29</v>
      </c>
      <c r="H81" s="29">
        <f t="shared" si="17"/>
        <v>1</v>
      </c>
      <c r="I81" s="30">
        <f t="shared" si="18"/>
        <v>0.3333333333</v>
      </c>
      <c r="J81" s="20">
        <f t="shared" si="11"/>
        <v>1</v>
      </c>
      <c r="K81" s="22" t="s">
        <v>29</v>
      </c>
      <c r="L81" s="22" t="s">
        <v>33</v>
      </c>
      <c r="M81" s="22" t="s">
        <v>29</v>
      </c>
      <c r="N81" s="18">
        <f t="shared" si="12"/>
        <v>1</v>
      </c>
      <c r="O81" s="30">
        <f t="shared" si="19"/>
        <v>0.3333333333</v>
      </c>
      <c r="P81" s="20">
        <f t="shared" si="14"/>
        <v>0.3333333333</v>
      </c>
      <c r="Q81" s="31" t="s">
        <v>29</v>
      </c>
      <c r="R81" s="31" t="s">
        <v>33</v>
      </c>
      <c r="S81" s="31" t="s">
        <v>29</v>
      </c>
      <c r="T81" s="29">
        <f t="shared" si="20"/>
        <v>1</v>
      </c>
      <c r="U81" s="30">
        <f t="shared" si="21"/>
        <v>0.3333333333</v>
      </c>
      <c r="V81" s="32" t="s">
        <v>31</v>
      </c>
      <c r="W81" s="32" t="s">
        <v>28</v>
      </c>
      <c r="X81" s="32" t="s">
        <v>29</v>
      </c>
      <c r="Y81" s="24">
        <v>46132.0</v>
      </c>
      <c r="Z81" s="5"/>
      <c r="AA81" s="5"/>
      <c r="AB81" s="5"/>
    </row>
    <row r="82" ht="15.75" customHeight="1">
      <c r="A82" s="21">
        <v>232.0</v>
      </c>
      <c r="B82" s="21" t="s">
        <v>49</v>
      </c>
      <c r="C82" s="21" t="s">
        <v>41</v>
      </c>
      <c r="D82" s="21" t="s">
        <v>43</v>
      </c>
      <c r="E82" s="17" t="s">
        <v>30</v>
      </c>
      <c r="F82" s="17" t="s">
        <v>30</v>
      </c>
      <c r="G82" s="17" t="s">
        <v>30</v>
      </c>
      <c r="H82" s="29">
        <f t="shared" si="17"/>
        <v>0</v>
      </c>
      <c r="I82" s="30">
        <f t="shared" si="18"/>
        <v>0</v>
      </c>
      <c r="J82" s="20" t="str">
        <f t="shared" si="11"/>
        <v>XXX</v>
      </c>
      <c r="K82" s="16" t="s">
        <v>33</v>
      </c>
      <c r="L82" s="16" t="s">
        <v>33</v>
      </c>
      <c r="M82" s="16" t="s">
        <v>28</v>
      </c>
      <c r="N82" s="18">
        <f t="shared" si="12"/>
        <v>3</v>
      </c>
      <c r="O82" s="30">
        <f t="shared" si="19"/>
        <v>1</v>
      </c>
      <c r="P82" s="20">
        <f t="shared" si="14"/>
        <v>1</v>
      </c>
      <c r="Q82" s="31" t="s">
        <v>33</v>
      </c>
      <c r="R82" s="31" t="s">
        <v>33</v>
      </c>
      <c r="S82" s="31" t="s">
        <v>28</v>
      </c>
      <c r="T82" s="29">
        <f t="shared" si="20"/>
        <v>3</v>
      </c>
      <c r="U82" s="30">
        <f t="shared" si="21"/>
        <v>1</v>
      </c>
      <c r="V82" s="32" t="s">
        <v>33</v>
      </c>
      <c r="W82" s="32" t="s">
        <v>33</v>
      </c>
      <c r="X82" s="32" t="s">
        <v>28</v>
      </c>
      <c r="Y82" s="24">
        <v>46132.0</v>
      </c>
      <c r="Z82" s="5"/>
      <c r="AA82" s="5"/>
      <c r="AB82" s="5"/>
    </row>
    <row r="83" ht="15.75" customHeight="1">
      <c r="A83" s="21">
        <v>233.0</v>
      </c>
      <c r="B83" s="21" t="s">
        <v>49</v>
      </c>
      <c r="C83" s="21" t="s">
        <v>41</v>
      </c>
      <c r="D83" s="21" t="s">
        <v>43</v>
      </c>
      <c r="E83" s="17" t="s">
        <v>30</v>
      </c>
      <c r="F83" s="17" t="s">
        <v>30</v>
      </c>
      <c r="G83" s="22" t="s">
        <v>31</v>
      </c>
      <c r="H83" s="29">
        <f t="shared" si="17"/>
        <v>1</v>
      </c>
      <c r="I83" s="30">
        <f t="shared" si="18"/>
        <v>0.3333333333</v>
      </c>
      <c r="J83" s="20">
        <f t="shared" si="11"/>
        <v>1</v>
      </c>
      <c r="K83" s="22" t="s">
        <v>33</v>
      </c>
      <c r="L83" s="22" t="s">
        <v>31</v>
      </c>
      <c r="M83" s="22" t="s">
        <v>31</v>
      </c>
      <c r="N83" s="18">
        <f t="shared" si="12"/>
        <v>2</v>
      </c>
      <c r="O83" s="30">
        <f t="shared" si="19"/>
        <v>0.6666666667</v>
      </c>
      <c r="P83" s="20">
        <f t="shared" si="14"/>
        <v>0.6666666667</v>
      </c>
      <c r="Q83" s="31" t="s">
        <v>29</v>
      </c>
      <c r="R83" s="31" t="s">
        <v>31</v>
      </c>
      <c r="S83" s="31" t="s">
        <v>31</v>
      </c>
      <c r="T83" s="29">
        <f t="shared" si="20"/>
        <v>3</v>
      </c>
      <c r="U83" s="30">
        <f t="shared" si="21"/>
        <v>1</v>
      </c>
      <c r="V83" s="32" t="s">
        <v>29</v>
      </c>
      <c r="W83" s="32" t="s">
        <v>31</v>
      </c>
      <c r="X83" s="32" t="s">
        <v>31</v>
      </c>
      <c r="Y83" s="24">
        <v>46132.0</v>
      </c>
      <c r="Z83" s="5"/>
      <c r="AA83" s="5"/>
      <c r="AB83" s="5"/>
    </row>
    <row r="84" ht="15.75" customHeight="1">
      <c r="A84" s="21">
        <v>251.0</v>
      </c>
      <c r="B84" s="21" t="s">
        <v>49</v>
      </c>
      <c r="C84" s="21" t="s">
        <v>41</v>
      </c>
      <c r="D84" s="21" t="s">
        <v>44</v>
      </c>
      <c r="E84" s="17" t="s">
        <v>30</v>
      </c>
      <c r="F84" s="17" t="s">
        <v>30</v>
      </c>
      <c r="G84" s="17" t="s">
        <v>30</v>
      </c>
      <c r="H84" s="29">
        <f t="shared" si="17"/>
        <v>0</v>
      </c>
      <c r="I84" s="30">
        <f t="shared" si="18"/>
        <v>0</v>
      </c>
      <c r="J84" s="20" t="str">
        <f t="shared" si="11"/>
        <v>XXX</v>
      </c>
      <c r="K84" s="16" t="s">
        <v>28</v>
      </c>
      <c r="L84" s="16" t="s">
        <v>28</v>
      </c>
      <c r="M84" s="16" t="s">
        <v>29</v>
      </c>
      <c r="N84" s="18">
        <f t="shared" si="12"/>
        <v>1</v>
      </c>
      <c r="O84" s="30">
        <f t="shared" si="19"/>
        <v>0.3333333333</v>
      </c>
      <c r="P84" s="20">
        <f t="shared" si="14"/>
        <v>0.3333333333</v>
      </c>
      <c r="Q84" s="31" t="s">
        <v>28</v>
      </c>
      <c r="R84" s="31" t="s">
        <v>28</v>
      </c>
      <c r="S84" s="31" t="s">
        <v>33</v>
      </c>
      <c r="T84" s="29">
        <f t="shared" si="20"/>
        <v>1</v>
      </c>
      <c r="U84" s="30">
        <f t="shared" si="21"/>
        <v>0.3333333333</v>
      </c>
      <c r="V84" s="32" t="s">
        <v>33</v>
      </c>
      <c r="W84" s="32" t="s">
        <v>28</v>
      </c>
      <c r="X84" s="32" t="s">
        <v>31</v>
      </c>
      <c r="Y84" s="24">
        <v>46132.0</v>
      </c>
      <c r="Z84" s="5"/>
      <c r="AA84" s="5"/>
      <c r="AB84" s="5"/>
    </row>
    <row r="85" ht="15.75" customHeight="1">
      <c r="A85" s="21">
        <v>252.0</v>
      </c>
      <c r="B85" s="21" t="s">
        <v>49</v>
      </c>
      <c r="C85" s="21" t="s">
        <v>41</v>
      </c>
      <c r="D85" s="21" t="s">
        <v>44</v>
      </c>
      <c r="E85" s="17" t="s">
        <v>30</v>
      </c>
      <c r="F85" s="17" t="s">
        <v>30</v>
      </c>
      <c r="G85" s="17" t="s">
        <v>30</v>
      </c>
      <c r="H85" s="29">
        <f t="shared" si="17"/>
        <v>0</v>
      </c>
      <c r="I85" s="30">
        <f t="shared" si="18"/>
        <v>0</v>
      </c>
      <c r="J85" s="20" t="str">
        <f t="shared" si="11"/>
        <v>XXX</v>
      </c>
      <c r="K85" s="22" t="s">
        <v>29</v>
      </c>
      <c r="L85" s="22" t="s">
        <v>28</v>
      </c>
      <c r="M85" s="22" t="s">
        <v>33</v>
      </c>
      <c r="N85" s="18">
        <f t="shared" si="12"/>
        <v>1</v>
      </c>
      <c r="O85" s="30">
        <f t="shared" si="19"/>
        <v>0.3333333333</v>
      </c>
      <c r="P85" s="20">
        <f t="shared" si="14"/>
        <v>0.3333333333</v>
      </c>
      <c r="Q85" s="31" t="s">
        <v>29</v>
      </c>
      <c r="R85" s="31" t="s">
        <v>33</v>
      </c>
      <c r="S85" s="31" t="s">
        <v>28</v>
      </c>
      <c r="T85" s="29">
        <f t="shared" si="20"/>
        <v>3</v>
      </c>
      <c r="U85" s="30">
        <f t="shared" si="21"/>
        <v>1</v>
      </c>
      <c r="V85" s="32" t="s">
        <v>29</v>
      </c>
      <c r="W85" s="32" t="s">
        <v>33</v>
      </c>
      <c r="X85" s="32" t="s">
        <v>28</v>
      </c>
      <c r="Y85" s="24">
        <v>46132.0</v>
      </c>
      <c r="Z85" s="5"/>
      <c r="AA85" s="5"/>
      <c r="AB85" s="5"/>
    </row>
    <row r="86" ht="15.75" customHeight="1">
      <c r="A86" s="21">
        <v>253.0</v>
      </c>
      <c r="B86" s="21" t="s">
        <v>49</v>
      </c>
      <c r="C86" s="21" t="s">
        <v>41</v>
      </c>
      <c r="D86" s="21" t="s">
        <v>44</v>
      </c>
      <c r="E86" s="17" t="s">
        <v>30</v>
      </c>
      <c r="F86" s="17" t="s">
        <v>30</v>
      </c>
      <c r="G86" s="17" t="s">
        <v>30</v>
      </c>
      <c r="H86" s="29">
        <f t="shared" si="17"/>
        <v>0</v>
      </c>
      <c r="I86" s="30">
        <f t="shared" si="18"/>
        <v>0</v>
      </c>
      <c r="J86" s="20" t="str">
        <f t="shared" si="11"/>
        <v>XXX</v>
      </c>
      <c r="K86" s="16" t="s">
        <v>33</v>
      </c>
      <c r="L86" s="16" t="s">
        <v>29</v>
      </c>
      <c r="M86" s="16" t="s">
        <v>29</v>
      </c>
      <c r="N86" s="18">
        <f t="shared" si="12"/>
        <v>0</v>
      </c>
      <c r="O86" s="30">
        <f t="shared" si="19"/>
        <v>0</v>
      </c>
      <c r="P86" s="20">
        <f t="shared" si="14"/>
        <v>0</v>
      </c>
      <c r="Q86" s="31" t="s">
        <v>29</v>
      </c>
      <c r="R86" s="31" t="s">
        <v>33</v>
      </c>
      <c r="S86" s="31" t="s">
        <v>33</v>
      </c>
      <c r="T86" s="29">
        <f t="shared" si="20"/>
        <v>1</v>
      </c>
      <c r="U86" s="30">
        <f t="shared" si="21"/>
        <v>0.3333333333</v>
      </c>
      <c r="V86" s="32" t="s">
        <v>31</v>
      </c>
      <c r="W86" s="32" t="s">
        <v>28</v>
      </c>
      <c r="X86" s="32" t="s">
        <v>33</v>
      </c>
      <c r="Y86" s="24">
        <v>46132.0</v>
      </c>
      <c r="Z86" s="5"/>
      <c r="AA86" s="5"/>
      <c r="AB86" s="5"/>
    </row>
    <row r="87" ht="15.75" customHeight="1">
      <c r="A87" s="21">
        <v>261.0</v>
      </c>
      <c r="B87" s="21" t="s">
        <v>49</v>
      </c>
      <c r="C87" s="21" t="s">
        <v>41</v>
      </c>
      <c r="D87" s="21" t="s">
        <v>45</v>
      </c>
      <c r="E87" s="17" t="s">
        <v>30</v>
      </c>
      <c r="F87" s="17" t="s">
        <v>30</v>
      </c>
      <c r="G87" s="22" t="s">
        <v>31</v>
      </c>
      <c r="H87" s="29">
        <f t="shared" si="17"/>
        <v>1</v>
      </c>
      <c r="I87" s="30">
        <f t="shared" si="18"/>
        <v>0.3333333333</v>
      </c>
      <c r="J87" s="20">
        <f t="shared" si="11"/>
        <v>1</v>
      </c>
      <c r="K87" s="22" t="s">
        <v>33</v>
      </c>
      <c r="L87" s="22" t="s">
        <v>29</v>
      </c>
      <c r="M87" s="22" t="s">
        <v>31</v>
      </c>
      <c r="N87" s="18">
        <f t="shared" si="12"/>
        <v>2</v>
      </c>
      <c r="O87" s="30">
        <f t="shared" si="19"/>
        <v>0.6666666667</v>
      </c>
      <c r="P87" s="20">
        <f t="shared" si="14"/>
        <v>0.6666666667</v>
      </c>
      <c r="Q87" s="31" t="s">
        <v>33</v>
      </c>
      <c r="R87" s="31" t="s">
        <v>28</v>
      </c>
      <c r="S87" s="31" t="s">
        <v>31</v>
      </c>
      <c r="T87" s="29">
        <f t="shared" si="20"/>
        <v>3</v>
      </c>
      <c r="U87" s="30">
        <f t="shared" si="21"/>
        <v>1</v>
      </c>
      <c r="V87" s="32" t="s">
        <v>33</v>
      </c>
      <c r="W87" s="32" t="s">
        <v>28</v>
      </c>
      <c r="X87" s="32" t="s">
        <v>31</v>
      </c>
      <c r="Y87" s="24">
        <v>46132.0</v>
      </c>
      <c r="Z87" s="5"/>
      <c r="AA87" s="5"/>
      <c r="AB87" s="5"/>
    </row>
    <row r="88" ht="15.75" customHeight="1">
      <c r="A88" s="21">
        <v>262.0</v>
      </c>
      <c r="B88" s="21" t="s">
        <v>49</v>
      </c>
      <c r="C88" s="21" t="s">
        <v>41</v>
      </c>
      <c r="D88" s="21" t="s">
        <v>45</v>
      </c>
      <c r="E88" s="16" t="s">
        <v>29</v>
      </c>
      <c r="F88" s="17" t="s">
        <v>30</v>
      </c>
      <c r="G88" s="17" t="s">
        <v>30</v>
      </c>
      <c r="H88" s="29">
        <f t="shared" si="17"/>
        <v>1</v>
      </c>
      <c r="I88" s="30">
        <f t="shared" si="18"/>
        <v>0.3333333333</v>
      </c>
      <c r="J88" s="20">
        <f t="shared" si="11"/>
        <v>1</v>
      </c>
      <c r="K88" s="16" t="s">
        <v>29</v>
      </c>
      <c r="L88" s="16" t="s">
        <v>33</v>
      </c>
      <c r="M88" s="17" t="s">
        <v>30</v>
      </c>
      <c r="N88" s="18">
        <f t="shared" si="12"/>
        <v>1</v>
      </c>
      <c r="O88" s="30">
        <f t="shared" si="19"/>
        <v>0.3333333333</v>
      </c>
      <c r="P88" s="20">
        <f t="shared" si="14"/>
        <v>0.5</v>
      </c>
      <c r="Q88" s="31" t="s">
        <v>29</v>
      </c>
      <c r="R88" s="31" t="s">
        <v>33</v>
      </c>
      <c r="S88" s="31" t="s">
        <v>31</v>
      </c>
      <c r="T88" s="29">
        <f t="shared" si="20"/>
        <v>1</v>
      </c>
      <c r="U88" s="30">
        <f t="shared" si="21"/>
        <v>0.3333333333</v>
      </c>
      <c r="V88" s="32" t="s">
        <v>29</v>
      </c>
      <c r="W88" s="32" t="s">
        <v>31</v>
      </c>
      <c r="X88" s="32" t="s">
        <v>33</v>
      </c>
      <c r="Y88" s="24">
        <v>46132.0</v>
      </c>
      <c r="Z88" s="5"/>
      <c r="AA88" s="5"/>
      <c r="AB88" s="5"/>
    </row>
    <row r="89" ht="15.75" customHeight="1">
      <c r="A89" s="21">
        <v>263.0</v>
      </c>
      <c r="B89" s="21" t="s">
        <v>49</v>
      </c>
      <c r="C89" s="21" t="s">
        <v>41</v>
      </c>
      <c r="D89" s="21" t="s">
        <v>45</v>
      </c>
      <c r="E89" s="22" t="s">
        <v>28</v>
      </c>
      <c r="F89" s="17" t="s">
        <v>30</v>
      </c>
      <c r="G89" s="22" t="s">
        <v>29</v>
      </c>
      <c r="H89" s="29">
        <f t="shared" si="17"/>
        <v>2</v>
      </c>
      <c r="I89" s="30">
        <f t="shared" si="18"/>
        <v>0.6666666667</v>
      </c>
      <c r="J89" s="20">
        <f t="shared" si="11"/>
        <v>1</v>
      </c>
      <c r="K89" s="22" t="s">
        <v>28</v>
      </c>
      <c r="L89" s="22" t="s">
        <v>31</v>
      </c>
      <c r="M89" s="22" t="s">
        <v>29</v>
      </c>
      <c r="N89" s="18">
        <f t="shared" si="12"/>
        <v>2</v>
      </c>
      <c r="O89" s="30">
        <f t="shared" si="19"/>
        <v>0.6666666667</v>
      </c>
      <c r="P89" s="20">
        <f t="shared" si="14"/>
        <v>0.6666666667</v>
      </c>
      <c r="Q89" s="31" t="s">
        <v>28</v>
      </c>
      <c r="R89" s="31" t="s">
        <v>31</v>
      </c>
      <c r="S89" s="31" t="s">
        <v>29</v>
      </c>
      <c r="T89" s="29">
        <f t="shared" si="20"/>
        <v>2</v>
      </c>
      <c r="U89" s="30">
        <f t="shared" si="21"/>
        <v>0.6666666667</v>
      </c>
      <c r="V89" s="32" t="s">
        <v>28</v>
      </c>
      <c r="W89" s="32" t="s">
        <v>33</v>
      </c>
      <c r="X89" s="32" t="s">
        <v>29</v>
      </c>
      <c r="Y89" s="24">
        <v>46132.0</v>
      </c>
      <c r="Z89" s="5"/>
      <c r="AA89" s="5"/>
      <c r="AB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7"/>
      <c r="L90" s="37"/>
      <c r="M90" s="3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7"/>
      <c r="L91" s="37"/>
      <c r="M91" s="3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7"/>
      <c r="L92" s="37"/>
      <c r="M92" s="3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7"/>
      <c r="L93" s="37"/>
      <c r="M93" s="3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7"/>
      <c r="L94" s="37"/>
      <c r="M94" s="3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7"/>
      <c r="L95" s="37"/>
      <c r="M95" s="3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7"/>
      <c r="L96" s="37"/>
      <c r="M96" s="3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7"/>
      <c r="L97" s="37"/>
      <c r="M97" s="3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7"/>
      <c r="L98" s="37"/>
      <c r="M98" s="3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7"/>
      <c r="L99" s="37"/>
      <c r="M99" s="3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7"/>
      <c r="L100" s="37"/>
      <c r="M100" s="3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7"/>
      <c r="L101" s="37"/>
      <c r="M101" s="3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7"/>
      <c r="L102" s="37"/>
      <c r="M102" s="3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7"/>
      <c r="L103" s="37"/>
      <c r="M103" s="3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7"/>
      <c r="L104" s="37"/>
      <c r="M104" s="3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7"/>
      <c r="L105" s="37"/>
      <c r="M105" s="3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7"/>
      <c r="L106" s="37"/>
      <c r="M106" s="3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7"/>
      <c r="L107" s="37"/>
      <c r="M107" s="3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7"/>
      <c r="L108" s="37"/>
      <c r="M108" s="3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7"/>
      <c r="L109" s="37"/>
      <c r="M109" s="3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7"/>
      <c r="L110" s="37"/>
      <c r="M110" s="3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7"/>
      <c r="L111" s="37"/>
      <c r="M111" s="3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7"/>
      <c r="L112" s="37"/>
      <c r="M112" s="3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7"/>
      <c r="L113" s="37"/>
      <c r="M113" s="3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7"/>
      <c r="L114" s="37"/>
      <c r="M114" s="3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7"/>
      <c r="L115" s="37"/>
      <c r="M115" s="3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7"/>
      <c r="L116" s="37"/>
      <c r="M116" s="3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7"/>
      <c r="L117" s="37"/>
      <c r="M117" s="3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7"/>
      <c r="L118" s="37"/>
      <c r="M118" s="3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7"/>
      <c r="L119" s="37"/>
      <c r="M119" s="3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7"/>
      <c r="L120" s="37"/>
      <c r="M120" s="3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7"/>
      <c r="L121" s="37"/>
      <c r="M121" s="3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7"/>
      <c r="L122" s="37"/>
      <c r="M122" s="3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7"/>
      <c r="L123" s="37"/>
      <c r="M123" s="3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7"/>
      <c r="L124" s="37"/>
      <c r="M124" s="3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7"/>
      <c r="L125" s="37"/>
      <c r="M125" s="3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7"/>
      <c r="L126" s="37"/>
      <c r="M126" s="3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7"/>
      <c r="L127" s="37"/>
      <c r="M127" s="3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7"/>
      <c r="L128" s="37"/>
      <c r="M128" s="3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7"/>
      <c r="L129" s="37"/>
      <c r="M129" s="3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7"/>
      <c r="L133" s="37"/>
      <c r="M133" s="3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7"/>
      <c r="L134" s="37"/>
      <c r="M134" s="3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7"/>
      <c r="L135" s="37"/>
      <c r="M135" s="3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7"/>
      <c r="L136" s="37"/>
      <c r="M136" s="3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7"/>
      <c r="L140" s="37"/>
      <c r="M140" s="3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7"/>
      <c r="L141" s="37"/>
      <c r="M141" s="3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7"/>
      <c r="L142" s="37"/>
      <c r="M142" s="3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7"/>
      <c r="L145" s="37"/>
      <c r="M145" s="3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7"/>
      <c r="L146" s="37"/>
      <c r="M146" s="3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7"/>
      <c r="L147" s="37"/>
      <c r="M147" s="3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7"/>
      <c r="L150" s="37"/>
      <c r="M150" s="3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7"/>
      <c r="L151" s="37"/>
      <c r="M151" s="3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7"/>
      <c r="L152" s="37"/>
      <c r="M152" s="3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7"/>
      <c r="L153" s="37"/>
      <c r="M153" s="3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7"/>
      <c r="L154" s="37"/>
      <c r="M154" s="3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7"/>
      <c r="L155" s="37"/>
      <c r="M155" s="3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7"/>
      <c r="L156" s="37"/>
      <c r="M156" s="3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7"/>
      <c r="L157" s="37"/>
      <c r="M157" s="3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7"/>
      <c r="L158" s="37"/>
      <c r="M158" s="3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7"/>
      <c r="L159" s="37"/>
      <c r="M159" s="3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7"/>
      <c r="L160" s="37"/>
      <c r="M160" s="3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7"/>
      <c r="L161" s="37"/>
      <c r="M161" s="3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7"/>
      <c r="L162" s="37"/>
      <c r="M162" s="3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7"/>
      <c r="L163" s="37"/>
      <c r="M163" s="3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7"/>
      <c r="L164" s="37"/>
      <c r="M164" s="3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7"/>
      <c r="L165" s="37"/>
      <c r="M165" s="3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7"/>
      <c r="L166" s="37"/>
      <c r="M166" s="3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7"/>
      <c r="L167" s="37"/>
      <c r="M167" s="3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7"/>
      <c r="L168" s="37"/>
      <c r="M168" s="3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7"/>
      <c r="L169" s="37"/>
      <c r="M169" s="3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7"/>
      <c r="L170" s="37"/>
      <c r="M170" s="3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7"/>
      <c r="L171" s="37"/>
      <c r="M171" s="3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7"/>
      <c r="L172" s="37"/>
      <c r="M172" s="3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7"/>
      <c r="L173" s="37"/>
      <c r="M173" s="3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7"/>
      <c r="L174" s="37"/>
      <c r="M174" s="3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7"/>
      <c r="L175" s="37"/>
      <c r="M175" s="3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7"/>
      <c r="L176" s="37"/>
      <c r="M176" s="3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7"/>
      <c r="L177" s="37"/>
      <c r="M177" s="3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7"/>
      <c r="L178" s="37"/>
      <c r="M178" s="3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7"/>
      <c r="L179" s="37"/>
      <c r="M179" s="3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7"/>
      <c r="L180" s="37"/>
      <c r="M180" s="3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7"/>
      <c r="L181" s="37"/>
      <c r="M181" s="3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7"/>
      <c r="L182" s="37"/>
      <c r="M182" s="3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7"/>
      <c r="L183" s="37"/>
      <c r="M183" s="3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7"/>
      <c r="L184" s="37"/>
      <c r="M184" s="3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7"/>
      <c r="L185" s="37"/>
      <c r="M185" s="3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7"/>
      <c r="L186" s="37"/>
      <c r="M186" s="3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7"/>
      <c r="L187" s="37"/>
      <c r="M187" s="3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7"/>
      <c r="L188" s="37"/>
      <c r="M188" s="3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7"/>
      <c r="L189" s="37"/>
      <c r="M189" s="3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7"/>
      <c r="L190" s="37"/>
      <c r="M190" s="3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7"/>
      <c r="L191" s="37"/>
      <c r="M191" s="3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7"/>
      <c r="L192" s="37"/>
      <c r="M192" s="3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7"/>
      <c r="L193" s="37"/>
      <c r="M193" s="3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7"/>
      <c r="L194" s="37"/>
      <c r="M194" s="3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7"/>
      <c r="L195" s="37"/>
      <c r="M195" s="3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7"/>
      <c r="L196" s="37"/>
      <c r="M196" s="3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7"/>
      <c r="L197" s="37"/>
      <c r="M197" s="3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7"/>
      <c r="L198" s="37"/>
      <c r="M198" s="3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7"/>
      <c r="L199" s="37"/>
      <c r="M199" s="3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7"/>
      <c r="L200" s="37"/>
      <c r="M200" s="3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7"/>
      <c r="L201" s="37"/>
      <c r="M201" s="3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7"/>
      <c r="L202" s="37"/>
      <c r="M202" s="3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7"/>
      <c r="L203" s="37"/>
      <c r="M203" s="3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7"/>
      <c r="L204" s="37"/>
      <c r="M204" s="3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7"/>
      <c r="L205" s="37"/>
      <c r="M205" s="3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7"/>
      <c r="L206" s="37"/>
      <c r="M206" s="3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7"/>
      <c r="L207" s="37"/>
      <c r="M207" s="3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7"/>
      <c r="L208" s="37"/>
      <c r="M208" s="3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7"/>
      <c r="L209" s="37"/>
      <c r="M209" s="3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7"/>
      <c r="L210" s="37"/>
      <c r="M210" s="3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7"/>
      <c r="L211" s="37"/>
      <c r="M211" s="3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7"/>
      <c r="L212" s="37"/>
      <c r="M212" s="3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7"/>
      <c r="L213" s="37"/>
      <c r="M213" s="3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7"/>
      <c r="L214" s="37"/>
      <c r="M214" s="3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7"/>
      <c r="L215" s="37"/>
      <c r="M215" s="3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7"/>
      <c r="L216" s="37"/>
      <c r="M216" s="3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7"/>
      <c r="L217" s="37"/>
      <c r="M217" s="3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7"/>
      <c r="L218" s="37"/>
      <c r="M218" s="3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7"/>
      <c r="L219" s="37"/>
      <c r="M219" s="3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7"/>
      <c r="L220" s="37"/>
      <c r="M220" s="3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7"/>
      <c r="L221" s="37"/>
      <c r="M221" s="3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7"/>
      <c r="L222" s="37"/>
      <c r="M222" s="3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7"/>
      <c r="L223" s="37"/>
      <c r="M223" s="3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7"/>
      <c r="L224" s="37"/>
      <c r="M224" s="3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7"/>
      <c r="L225" s="37"/>
      <c r="M225" s="3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7"/>
      <c r="L226" s="37"/>
      <c r="M226" s="3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7"/>
      <c r="L227" s="37"/>
      <c r="M227" s="3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7"/>
      <c r="L228" s="37"/>
      <c r="M228" s="3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7"/>
      <c r="L229" s="37"/>
      <c r="M229" s="3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7"/>
      <c r="L230" s="37"/>
      <c r="M230" s="3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7"/>
      <c r="L231" s="37"/>
      <c r="M231" s="3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7"/>
      <c r="L232" s="37"/>
      <c r="M232" s="3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7"/>
      <c r="L233" s="37"/>
      <c r="M233" s="3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7"/>
      <c r="L234" s="37"/>
      <c r="M234" s="3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7"/>
      <c r="L235" s="37"/>
      <c r="M235" s="3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7"/>
      <c r="L236" s="37"/>
      <c r="M236" s="3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7"/>
      <c r="L237" s="37"/>
      <c r="M237" s="3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7"/>
      <c r="L238" s="37"/>
      <c r="M238" s="3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7"/>
      <c r="L239" s="37"/>
      <c r="M239" s="3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7"/>
      <c r="L240" s="37"/>
      <c r="M240" s="3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7"/>
      <c r="L241" s="37"/>
      <c r="M241" s="3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7"/>
      <c r="L242" s="37"/>
      <c r="M242" s="3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7"/>
      <c r="L243" s="37"/>
      <c r="M243" s="3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7"/>
      <c r="L244" s="37"/>
      <c r="M244" s="3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7"/>
      <c r="L245" s="37"/>
      <c r="M245" s="3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7"/>
      <c r="L246" s="37"/>
      <c r="M246" s="3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7"/>
      <c r="L247" s="37"/>
      <c r="M247" s="3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7"/>
      <c r="L248" s="37"/>
      <c r="M248" s="3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7"/>
      <c r="L249" s="37"/>
      <c r="M249" s="3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7"/>
      <c r="L250" s="37"/>
      <c r="M250" s="3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7"/>
      <c r="L251" s="37"/>
      <c r="M251" s="3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7"/>
      <c r="L252" s="37"/>
      <c r="M252" s="3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7"/>
      <c r="L253" s="37"/>
      <c r="M253" s="3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7"/>
      <c r="L254" s="37"/>
      <c r="M254" s="3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7"/>
      <c r="L255" s="37"/>
      <c r="M255" s="3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7"/>
      <c r="L256" s="37"/>
      <c r="M256" s="3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7"/>
      <c r="L257" s="37"/>
      <c r="M257" s="3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7"/>
      <c r="L258" s="37"/>
      <c r="M258" s="3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7"/>
      <c r="L259" s="37"/>
      <c r="M259" s="3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7"/>
      <c r="L260" s="37"/>
      <c r="M260" s="3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7"/>
      <c r="L261" s="37"/>
      <c r="M261" s="3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7"/>
      <c r="L262" s="37"/>
      <c r="M262" s="3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7"/>
      <c r="L263" s="37"/>
      <c r="M263" s="3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7"/>
      <c r="L264" s="37"/>
      <c r="M264" s="3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7"/>
      <c r="L265" s="37"/>
      <c r="M265" s="3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7"/>
      <c r="L266" s="37"/>
      <c r="M266" s="3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7"/>
      <c r="L267" s="37"/>
      <c r="M267" s="3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7"/>
      <c r="L268" s="37"/>
      <c r="M268" s="3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7"/>
      <c r="L269" s="37"/>
      <c r="M269" s="3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7"/>
      <c r="L270" s="37"/>
      <c r="M270" s="3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7"/>
      <c r="L271" s="37"/>
      <c r="M271" s="3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7"/>
      <c r="L272" s="37"/>
      <c r="M272" s="3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7"/>
      <c r="L273" s="37"/>
      <c r="M273" s="3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7"/>
      <c r="L274" s="37"/>
      <c r="M274" s="3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7"/>
      <c r="L275" s="37"/>
      <c r="M275" s="3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7"/>
      <c r="L276" s="37"/>
      <c r="M276" s="3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7"/>
      <c r="L277" s="37"/>
      <c r="M277" s="3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7"/>
      <c r="L278" s="37"/>
      <c r="M278" s="3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7"/>
      <c r="L279" s="37"/>
      <c r="M279" s="3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7"/>
      <c r="L280" s="37"/>
      <c r="M280" s="3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7"/>
      <c r="L281" s="37"/>
      <c r="M281" s="3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7"/>
      <c r="L282" s="37"/>
      <c r="M282" s="3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7"/>
      <c r="L283" s="37"/>
      <c r="M283" s="3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7"/>
      <c r="L284" s="37"/>
      <c r="M284" s="3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7"/>
      <c r="L285" s="37"/>
      <c r="M285" s="3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7"/>
      <c r="L286" s="37"/>
      <c r="M286" s="3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7"/>
      <c r="L287" s="37"/>
      <c r="M287" s="3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7"/>
      <c r="L288" s="37"/>
      <c r="M288" s="3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7"/>
      <c r="L289" s="37"/>
      <c r="M289" s="3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7"/>
      <c r="L290" s="37"/>
      <c r="M290" s="3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7"/>
      <c r="L291" s="37"/>
      <c r="M291" s="3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7"/>
      <c r="L292" s="37"/>
      <c r="M292" s="3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7"/>
      <c r="L293" s="37"/>
      <c r="M293" s="3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7"/>
      <c r="L294" s="37"/>
      <c r="M294" s="3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7"/>
      <c r="L295" s="37"/>
      <c r="M295" s="3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7"/>
      <c r="L296" s="37"/>
      <c r="M296" s="3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7"/>
      <c r="L297" s="37"/>
      <c r="M297" s="3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7"/>
      <c r="L298" s="37"/>
      <c r="M298" s="3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7"/>
      <c r="L299" s="37"/>
      <c r="M299" s="3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7"/>
      <c r="L300" s="37"/>
      <c r="M300" s="3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7"/>
      <c r="L301" s="37"/>
      <c r="M301" s="3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7"/>
      <c r="L302" s="37"/>
      <c r="M302" s="3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7"/>
      <c r="L303" s="37"/>
      <c r="M303" s="3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7"/>
      <c r="L304" s="37"/>
      <c r="M304" s="3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7"/>
      <c r="L305" s="37"/>
      <c r="M305" s="3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7"/>
      <c r="L306" s="37"/>
      <c r="M306" s="3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7"/>
      <c r="L307" s="37"/>
      <c r="M307" s="3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7"/>
      <c r="L308" s="37"/>
      <c r="M308" s="3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7"/>
      <c r="L309" s="37"/>
      <c r="M309" s="3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7"/>
      <c r="L310" s="37"/>
      <c r="M310" s="3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7"/>
      <c r="L311" s="37"/>
      <c r="M311" s="3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7"/>
      <c r="L312" s="37"/>
      <c r="M312" s="3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7"/>
      <c r="L313" s="37"/>
      <c r="M313" s="3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7"/>
      <c r="L314" s="37"/>
      <c r="M314" s="3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7"/>
      <c r="L315" s="37"/>
      <c r="M315" s="3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7"/>
      <c r="L316" s="37"/>
      <c r="M316" s="3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7"/>
      <c r="L317" s="37"/>
      <c r="M317" s="3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7"/>
      <c r="L318" s="37"/>
      <c r="M318" s="3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7"/>
      <c r="L319" s="37"/>
      <c r="M319" s="3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7"/>
      <c r="L320" s="37"/>
      <c r="M320" s="3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7"/>
      <c r="L321" s="37"/>
      <c r="M321" s="3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7"/>
      <c r="L322" s="37"/>
      <c r="M322" s="3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7"/>
      <c r="L323" s="37"/>
      <c r="M323" s="3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7"/>
      <c r="L324" s="37"/>
      <c r="M324" s="3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7"/>
      <c r="L325" s="37"/>
      <c r="M325" s="3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7"/>
      <c r="L326" s="37"/>
      <c r="M326" s="3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7"/>
      <c r="L327" s="37"/>
      <c r="M327" s="3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7"/>
      <c r="L328" s="37"/>
      <c r="M328" s="3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7"/>
      <c r="L329" s="37"/>
      <c r="M329" s="3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7"/>
      <c r="L330" s="37"/>
      <c r="M330" s="3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7"/>
      <c r="L331" s="37"/>
      <c r="M331" s="3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7"/>
      <c r="L332" s="37"/>
      <c r="M332" s="3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7"/>
      <c r="L333" s="37"/>
      <c r="M333" s="3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7"/>
      <c r="L334" s="37"/>
      <c r="M334" s="3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7"/>
      <c r="L335" s="37"/>
      <c r="M335" s="3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7"/>
      <c r="L336" s="37"/>
      <c r="M336" s="3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7"/>
      <c r="L337" s="37"/>
      <c r="M337" s="3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7"/>
      <c r="L338" s="37"/>
      <c r="M338" s="3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7"/>
      <c r="L339" s="37"/>
      <c r="M339" s="3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7"/>
      <c r="L340" s="37"/>
      <c r="M340" s="3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7"/>
      <c r="L341" s="37"/>
      <c r="M341" s="3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7"/>
      <c r="L342" s="37"/>
      <c r="M342" s="3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7"/>
      <c r="L343" s="37"/>
      <c r="M343" s="3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7"/>
      <c r="L344" s="37"/>
      <c r="M344" s="3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7"/>
      <c r="L345" s="37"/>
      <c r="M345" s="3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7"/>
      <c r="L346" s="37"/>
      <c r="M346" s="3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7"/>
      <c r="L347" s="37"/>
      <c r="M347" s="3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7"/>
      <c r="L348" s="37"/>
      <c r="M348" s="3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7"/>
      <c r="L349" s="37"/>
      <c r="M349" s="3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7"/>
      <c r="L350" s="37"/>
      <c r="M350" s="3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7"/>
      <c r="L351" s="37"/>
      <c r="M351" s="3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7"/>
      <c r="L352" s="37"/>
      <c r="M352" s="3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7"/>
      <c r="L353" s="37"/>
      <c r="M353" s="3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7"/>
      <c r="L354" s="37"/>
      <c r="M354" s="3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7"/>
      <c r="L355" s="37"/>
      <c r="M355" s="3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7"/>
      <c r="L356" s="37"/>
      <c r="M356" s="3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7"/>
      <c r="L357" s="37"/>
      <c r="M357" s="3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7"/>
      <c r="L358" s="37"/>
      <c r="M358" s="3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7"/>
      <c r="L359" s="37"/>
      <c r="M359" s="3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7"/>
      <c r="L360" s="37"/>
      <c r="M360" s="3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7"/>
      <c r="L361" s="37"/>
      <c r="M361" s="3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7"/>
      <c r="L362" s="37"/>
      <c r="M362" s="3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7"/>
      <c r="L363" s="37"/>
      <c r="M363" s="3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7"/>
      <c r="L364" s="37"/>
      <c r="M364" s="3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7"/>
      <c r="L365" s="37"/>
      <c r="M365" s="3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7"/>
      <c r="L366" s="37"/>
      <c r="M366" s="3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7"/>
      <c r="L367" s="37"/>
      <c r="M367" s="3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7"/>
      <c r="L368" s="37"/>
      <c r="M368" s="3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7"/>
      <c r="L369" s="37"/>
      <c r="M369" s="3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7"/>
      <c r="L370" s="37"/>
      <c r="M370" s="3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7"/>
      <c r="L371" s="37"/>
      <c r="M371" s="3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7"/>
      <c r="L372" s="37"/>
      <c r="M372" s="3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7"/>
      <c r="L373" s="37"/>
      <c r="M373" s="3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7"/>
      <c r="L374" s="37"/>
      <c r="M374" s="3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7"/>
      <c r="L375" s="37"/>
      <c r="M375" s="3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7"/>
      <c r="L376" s="37"/>
      <c r="M376" s="3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7"/>
      <c r="L377" s="37"/>
      <c r="M377" s="3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7"/>
      <c r="L378" s="37"/>
      <c r="M378" s="3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7"/>
      <c r="L379" s="37"/>
      <c r="M379" s="3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7"/>
      <c r="L380" s="37"/>
      <c r="M380" s="3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7"/>
      <c r="L381" s="37"/>
      <c r="M381" s="3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7"/>
      <c r="L382" s="37"/>
      <c r="M382" s="3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7"/>
      <c r="L383" s="37"/>
      <c r="M383" s="3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7"/>
      <c r="L384" s="37"/>
      <c r="M384" s="3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7"/>
      <c r="L385" s="37"/>
      <c r="M385" s="3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7"/>
      <c r="L386" s="37"/>
      <c r="M386" s="3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7"/>
      <c r="L387" s="37"/>
      <c r="M387" s="3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7"/>
      <c r="L388" s="37"/>
      <c r="M388" s="3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7"/>
      <c r="L389" s="37"/>
      <c r="M389" s="3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7"/>
      <c r="L390" s="37"/>
      <c r="M390" s="3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7"/>
      <c r="L391" s="37"/>
      <c r="M391" s="3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7"/>
      <c r="L392" s="37"/>
      <c r="M392" s="3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7"/>
      <c r="L393" s="37"/>
      <c r="M393" s="3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7"/>
      <c r="L394" s="37"/>
      <c r="M394" s="3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7"/>
      <c r="L395" s="37"/>
      <c r="M395" s="3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7"/>
      <c r="L396" s="37"/>
      <c r="M396" s="3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7"/>
      <c r="L397" s="37"/>
      <c r="M397" s="3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7"/>
      <c r="L398" s="37"/>
      <c r="M398" s="3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7"/>
      <c r="L399" s="37"/>
      <c r="M399" s="3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7"/>
      <c r="L400" s="37"/>
      <c r="M400" s="3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7"/>
      <c r="L401" s="37"/>
      <c r="M401" s="3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7"/>
      <c r="L402" s="37"/>
      <c r="M402" s="3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7"/>
      <c r="L403" s="37"/>
      <c r="M403" s="3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7"/>
      <c r="L404" s="37"/>
      <c r="M404" s="3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7"/>
      <c r="L405" s="37"/>
      <c r="M405" s="3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7"/>
      <c r="L406" s="37"/>
      <c r="M406" s="3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7"/>
      <c r="L407" s="37"/>
      <c r="M407" s="3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7"/>
      <c r="L408" s="37"/>
      <c r="M408" s="3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7"/>
      <c r="L409" s="37"/>
      <c r="M409" s="3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7"/>
      <c r="L410" s="37"/>
      <c r="M410" s="3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7"/>
      <c r="L411" s="37"/>
      <c r="M411" s="3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7"/>
      <c r="L412" s="37"/>
      <c r="M412" s="3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7"/>
      <c r="L413" s="37"/>
      <c r="M413" s="3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7"/>
      <c r="L414" s="37"/>
      <c r="M414" s="3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7"/>
      <c r="L415" s="37"/>
      <c r="M415" s="3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7"/>
      <c r="L416" s="37"/>
      <c r="M416" s="3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7"/>
      <c r="L417" s="37"/>
      <c r="M417" s="3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7"/>
      <c r="L418" s="37"/>
      <c r="M418" s="3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7"/>
      <c r="L419" s="37"/>
      <c r="M419" s="3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7"/>
      <c r="L420" s="37"/>
      <c r="M420" s="3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7"/>
      <c r="L421" s="37"/>
      <c r="M421" s="3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7"/>
      <c r="L422" s="37"/>
      <c r="M422" s="3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7"/>
      <c r="L423" s="37"/>
      <c r="M423" s="3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7"/>
      <c r="L424" s="37"/>
      <c r="M424" s="3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7"/>
      <c r="L425" s="37"/>
      <c r="M425" s="3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7"/>
      <c r="L426" s="37"/>
      <c r="M426" s="3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7"/>
      <c r="L427" s="37"/>
      <c r="M427" s="3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7"/>
      <c r="L428" s="37"/>
      <c r="M428" s="3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7"/>
      <c r="L429" s="37"/>
      <c r="M429" s="3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7"/>
      <c r="L430" s="37"/>
      <c r="M430" s="3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7"/>
      <c r="L431" s="37"/>
      <c r="M431" s="3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7"/>
      <c r="L432" s="37"/>
      <c r="M432" s="3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7"/>
      <c r="L433" s="37"/>
      <c r="M433" s="3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7"/>
      <c r="L434" s="37"/>
      <c r="M434" s="3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7"/>
      <c r="L435" s="37"/>
      <c r="M435" s="3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7"/>
      <c r="L436" s="37"/>
      <c r="M436" s="3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7"/>
      <c r="L437" s="37"/>
      <c r="M437" s="3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7"/>
      <c r="L438" s="37"/>
      <c r="M438" s="3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7"/>
      <c r="L439" s="37"/>
      <c r="M439" s="3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7"/>
      <c r="L440" s="37"/>
      <c r="M440" s="3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7"/>
      <c r="L441" s="37"/>
      <c r="M441" s="3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7"/>
      <c r="L442" s="37"/>
      <c r="M442" s="3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7"/>
      <c r="L443" s="37"/>
      <c r="M443" s="3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7"/>
      <c r="L444" s="37"/>
      <c r="M444" s="3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7"/>
      <c r="L445" s="37"/>
      <c r="M445" s="3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7"/>
      <c r="L446" s="37"/>
      <c r="M446" s="3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7"/>
      <c r="L447" s="37"/>
      <c r="M447" s="3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7"/>
      <c r="L448" s="37"/>
      <c r="M448" s="3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7"/>
      <c r="L449" s="37"/>
      <c r="M449" s="3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7"/>
      <c r="L450" s="37"/>
      <c r="M450" s="3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7"/>
      <c r="L451" s="37"/>
      <c r="M451" s="3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7"/>
      <c r="L452" s="37"/>
      <c r="M452" s="3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7"/>
      <c r="L453" s="37"/>
      <c r="M453" s="3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7"/>
      <c r="L454" s="37"/>
      <c r="M454" s="3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7"/>
      <c r="L455" s="37"/>
      <c r="M455" s="3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7"/>
      <c r="L456" s="37"/>
      <c r="M456" s="3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7"/>
      <c r="L457" s="37"/>
      <c r="M457" s="3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7"/>
      <c r="L458" s="37"/>
      <c r="M458" s="3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7"/>
      <c r="L459" s="37"/>
      <c r="M459" s="3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7"/>
      <c r="L460" s="37"/>
      <c r="M460" s="3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7"/>
      <c r="L461" s="37"/>
      <c r="M461" s="3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7"/>
      <c r="L462" s="37"/>
      <c r="M462" s="3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7"/>
      <c r="L463" s="37"/>
      <c r="M463" s="3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7"/>
      <c r="L464" s="37"/>
      <c r="M464" s="3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7"/>
      <c r="L465" s="37"/>
      <c r="M465" s="3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7"/>
      <c r="L466" s="37"/>
      <c r="M466" s="3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7"/>
      <c r="L467" s="37"/>
      <c r="M467" s="3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7"/>
      <c r="L468" s="37"/>
      <c r="M468" s="3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7"/>
      <c r="L469" s="37"/>
      <c r="M469" s="3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7"/>
      <c r="L470" s="37"/>
      <c r="M470" s="3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7"/>
      <c r="L471" s="37"/>
      <c r="M471" s="3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7"/>
      <c r="L472" s="37"/>
      <c r="M472" s="3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7"/>
      <c r="L473" s="37"/>
      <c r="M473" s="3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7"/>
      <c r="L474" s="37"/>
      <c r="M474" s="3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7"/>
      <c r="L475" s="37"/>
      <c r="M475" s="3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7"/>
      <c r="L476" s="37"/>
      <c r="M476" s="3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7"/>
      <c r="L477" s="37"/>
      <c r="M477" s="3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7"/>
      <c r="L478" s="37"/>
      <c r="M478" s="3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7"/>
      <c r="L479" s="37"/>
      <c r="M479" s="3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7"/>
      <c r="L480" s="37"/>
      <c r="M480" s="3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7"/>
      <c r="L481" s="37"/>
      <c r="M481" s="3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7"/>
      <c r="L482" s="37"/>
      <c r="M482" s="3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7"/>
      <c r="L483" s="37"/>
      <c r="M483" s="3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7"/>
      <c r="L484" s="37"/>
      <c r="M484" s="3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7"/>
      <c r="L485" s="37"/>
      <c r="M485" s="3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7"/>
      <c r="L486" s="37"/>
      <c r="M486" s="3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7"/>
      <c r="L487" s="37"/>
      <c r="M487" s="3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7"/>
      <c r="L488" s="37"/>
      <c r="M488" s="3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7"/>
      <c r="L489" s="37"/>
      <c r="M489" s="3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7"/>
      <c r="L490" s="37"/>
      <c r="M490" s="3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7"/>
      <c r="L491" s="37"/>
      <c r="M491" s="3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7"/>
      <c r="L492" s="37"/>
      <c r="M492" s="3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7"/>
      <c r="L493" s="37"/>
      <c r="M493" s="3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7"/>
      <c r="L494" s="37"/>
      <c r="M494" s="3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7"/>
      <c r="L495" s="37"/>
      <c r="M495" s="3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7"/>
      <c r="L496" s="37"/>
      <c r="M496" s="3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7"/>
      <c r="L497" s="37"/>
      <c r="M497" s="3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7"/>
      <c r="L498" s="37"/>
      <c r="M498" s="3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7"/>
      <c r="L499" s="37"/>
      <c r="M499" s="3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7"/>
      <c r="L500" s="37"/>
      <c r="M500" s="3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7"/>
      <c r="L501" s="37"/>
      <c r="M501" s="3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7"/>
      <c r="L502" s="37"/>
      <c r="M502" s="3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7"/>
      <c r="L503" s="37"/>
      <c r="M503" s="3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7"/>
      <c r="L504" s="37"/>
      <c r="M504" s="3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7"/>
      <c r="L505" s="37"/>
      <c r="M505" s="3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7"/>
      <c r="L506" s="37"/>
      <c r="M506" s="3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7"/>
      <c r="L507" s="37"/>
      <c r="M507" s="3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7"/>
      <c r="L508" s="37"/>
      <c r="M508" s="3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7"/>
      <c r="L509" s="37"/>
      <c r="M509" s="3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7"/>
      <c r="L510" s="37"/>
      <c r="M510" s="3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7"/>
      <c r="L511" s="37"/>
      <c r="M511" s="3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7"/>
      <c r="L512" s="37"/>
      <c r="M512" s="3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7"/>
      <c r="L513" s="37"/>
      <c r="M513" s="3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7"/>
      <c r="L514" s="37"/>
      <c r="M514" s="3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7"/>
      <c r="L515" s="37"/>
      <c r="M515" s="3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7"/>
      <c r="L516" s="37"/>
      <c r="M516" s="3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7"/>
      <c r="L517" s="37"/>
      <c r="M517" s="3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7"/>
      <c r="L518" s="37"/>
      <c r="M518" s="3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7"/>
      <c r="L519" s="37"/>
      <c r="M519" s="3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7"/>
      <c r="L520" s="37"/>
      <c r="M520" s="3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7"/>
      <c r="L521" s="37"/>
      <c r="M521" s="3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7"/>
      <c r="L522" s="37"/>
      <c r="M522" s="3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7"/>
      <c r="L523" s="37"/>
      <c r="M523" s="3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7"/>
      <c r="L524" s="37"/>
      <c r="M524" s="3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7"/>
      <c r="L525" s="37"/>
      <c r="M525" s="3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7"/>
      <c r="L526" s="37"/>
      <c r="M526" s="3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7"/>
      <c r="L527" s="37"/>
      <c r="M527" s="3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7"/>
      <c r="L528" s="37"/>
      <c r="M528" s="3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7"/>
      <c r="L529" s="37"/>
      <c r="M529" s="3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7"/>
      <c r="L530" s="37"/>
      <c r="M530" s="3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7"/>
      <c r="L531" s="37"/>
      <c r="M531" s="3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7"/>
      <c r="L532" s="37"/>
      <c r="M532" s="3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7"/>
      <c r="L533" s="37"/>
      <c r="M533" s="3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7"/>
      <c r="L534" s="37"/>
      <c r="M534" s="3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7"/>
      <c r="L535" s="37"/>
      <c r="M535" s="3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7"/>
      <c r="L536" s="37"/>
      <c r="M536" s="3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7"/>
      <c r="L537" s="37"/>
      <c r="M537" s="3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7"/>
      <c r="L538" s="37"/>
      <c r="M538" s="3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7"/>
      <c r="L539" s="37"/>
      <c r="M539" s="3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7"/>
      <c r="L540" s="37"/>
      <c r="M540" s="3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7"/>
      <c r="L541" s="37"/>
      <c r="M541" s="3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7"/>
      <c r="L542" s="37"/>
      <c r="M542" s="3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7"/>
      <c r="L543" s="37"/>
      <c r="M543" s="3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7"/>
      <c r="L544" s="37"/>
      <c r="M544" s="3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7"/>
      <c r="L545" s="37"/>
      <c r="M545" s="3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7"/>
      <c r="L546" s="37"/>
      <c r="M546" s="3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7"/>
      <c r="L547" s="37"/>
      <c r="M547" s="3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7"/>
      <c r="L548" s="37"/>
      <c r="M548" s="3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7"/>
      <c r="L549" s="37"/>
      <c r="M549" s="3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7"/>
      <c r="L550" s="37"/>
      <c r="M550" s="3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7"/>
      <c r="L551" s="37"/>
      <c r="M551" s="3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7"/>
      <c r="L552" s="37"/>
      <c r="M552" s="3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7"/>
      <c r="L553" s="37"/>
      <c r="M553" s="3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7"/>
      <c r="L554" s="37"/>
      <c r="M554" s="3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7"/>
      <c r="L555" s="37"/>
      <c r="M555" s="3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7"/>
      <c r="L556" s="37"/>
      <c r="M556" s="3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7"/>
      <c r="L557" s="37"/>
      <c r="M557" s="3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7"/>
      <c r="L558" s="37"/>
      <c r="M558" s="3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7"/>
      <c r="L559" s="37"/>
      <c r="M559" s="3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7"/>
      <c r="L560" s="37"/>
      <c r="M560" s="3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7"/>
      <c r="L561" s="37"/>
      <c r="M561" s="3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7"/>
      <c r="L562" s="37"/>
      <c r="M562" s="3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7"/>
      <c r="L563" s="37"/>
      <c r="M563" s="3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7"/>
      <c r="L564" s="37"/>
      <c r="M564" s="3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7"/>
      <c r="L565" s="37"/>
      <c r="M565" s="3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7"/>
      <c r="L566" s="37"/>
      <c r="M566" s="3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7"/>
      <c r="L567" s="37"/>
      <c r="M567" s="3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7"/>
      <c r="L568" s="37"/>
      <c r="M568" s="3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7"/>
      <c r="L569" s="37"/>
      <c r="M569" s="3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7"/>
      <c r="L570" s="37"/>
      <c r="M570" s="3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7"/>
      <c r="L571" s="37"/>
      <c r="M571" s="3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7"/>
      <c r="L572" s="37"/>
      <c r="M572" s="3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7"/>
      <c r="L573" s="37"/>
      <c r="M573" s="3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7"/>
      <c r="L574" s="37"/>
      <c r="M574" s="3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7"/>
      <c r="L575" s="37"/>
      <c r="M575" s="3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7"/>
      <c r="L576" s="37"/>
      <c r="M576" s="3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7"/>
      <c r="L577" s="37"/>
      <c r="M577" s="3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7"/>
      <c r="L578" s="37"/>
      <c r="M578" s="3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7"/>
      <c r="L579" s="37"/>
      <c r="M579" s="3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7"/>
      <c r="L580" s="37"/>
      <c r="M580" s="3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7"/>
      <c r="L581" s="37"/>
      <c r="M581" s="3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7"/>
      <c r="L582" s="37"/>
      <c r="M582" s="3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7"/>
      <c r="L583" s="37"/>
      <c r="M583" s="3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7"/>
      <c r="L584" s="37"/>
      <c r="M584" s="3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7"/>
      <c r="L585" s="37"/>
      <c r="M585" s="3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7"/>
      <c r="L586" s="37"/>
      <c r="M586" s="3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7"/>
      <c r="L587" s="37"/>
      <c r="M587" s="3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7"/>
      <c r="L588" s="37"/>
      <c r="M588" s="3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7"/>
      <c r="L589" s="37"/>
      <c r="M589" s="3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7"/>
      <c r="L590" s="37"/>
      <c r="M590" s="3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7"/>
      <c r="L591" s="37"/>
      <c r="M591" s="3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7"/>
      <c r="L592" s="37"/>
      <c r="M592" s="3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7"/>
      <c r="L593" s="37"/>
      <c r="M593" s="3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7"/>
      <c r="L594" s="37"/>
      <c r="M594" s="3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7"/>
      <c r="L595" s="37"/>
      <c r="M595" s="3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7"/>
      <c r="L596" s="37"/>
      <c r="M596" s="3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7"/>
      <c r="L597" s="37"/>
      <c r="M597" s="3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7"/>
      <c r="L598" s="37"/>
      <c r="M598" s="3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7"/>
      <c r="L599" s="37"/>
      <c r="M599" s="3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7"/>
      <c r="L600" s="37"/>
      <c r="M600" s="3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7"/>
      <c r="L601" s="37"/>
      <c r="M601" s="3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7"/>
      <c r="L602" s="37"/>
      <c r="M602" s="3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7"/>
      <c r="L603" s="37"/>
      <c r="M603" s="3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7"/>
      <c r="L604" s="37"/>
      <c r="M604" s="3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7"/>
      <c r="L605" s="37"/>
      <c r="M605" s="3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7"/>
      <c r="L606" s="37"/>
      <c r="M606" s="3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7"/>
      <c r="L607" s="37"/>
      <c r="M607" s="3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7"/>
      <c r="L608" s="37"/>
      <c r="M608" s="3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7"/>
      <c r="L609" s="37"/>
      <c r="M609" s="3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7"/>
      <c r="L610" s="37"/>
      <c r="M610" s="3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7"/>
      <c r="L611" s="37"/>
      <c r="M611" s="3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7"/>
      <c r="L612" s="37"/>
      <c r="M612" s="3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7"/>
      <c r="L613" s="37"/>
      <c r="M613" s="3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7"/>
      <c r="L614" s="37"/>
      <c r="M614" s="3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7"/>
      <c r="L615" s="37"/>
      <c r="M615" s="3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7"/>
      <c r="L616" s="37"/>
      <c r="M616" s="3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7"/>
      <c r="L617" s="37"/>
      <c r="M617" s="3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7"/>
      <c r="L618" s="37"/>
      <c r="M618" s="3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7"/>
      <c r="L619" s="37"/>
      <c r="M619" s="3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7"/>
      <c r="L620" s="37"/>
      <c r="M620" s="3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7"/>
      <c r="L621" s="37"/>
      <c r="M621" s="3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7"/>
      <c r="L622" s="37"/>
      <c r="M622" s="3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7"/>
      <c r="L623" s="37"/>
      <c r="M623" s="3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7"/>
      <c r="L624" s="37"/>
      <c r="M624" s="3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7"/>
      <c r="L625" s="37"/>
      <c r="M625" s="3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7"/>
      <c r="L626" s="37"/>
      <c r="M626" s="3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7"/>
      <c r="L627" s="37"/>
      <c r="M627" s="3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7"/>
      <c r="L628" s="37"/>
      <c r="M628" s="3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7"/>
      <c r="L629" s="37"/>
      <c r="M629" s="3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7"/>
      <c r="L630" s="37"/>
      <c r="M630" s="3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7"/>
      <c r="L631" s="37"/>
      <c r="M631" s="3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7"/>
      <c r="L632" s="37"/>
      <c r="M632" s="3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7"/>
      <c r="L633" s="37"/>
      <c r="M633" s="3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7"/>
      <c r="L634" s="37"/>
      <c r="M634" s="3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7"/>
      <c r="L635" s="37"/>
      <c r="M635" s="3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7"/>
      <c r="L636" s="37"/>
      <c r="M636" s="3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7"/>
      <c r="L637" s="37"/>
      <c r="M637" s="3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7"/>
      <c r="L638" s="37"/>
      <c r="M638" s="3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7"/>
      <c r="L639" s="37"/>
      <c r="M639" s="3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7"/>
      <c r="L640" s="37"/>
      <c r="M640" s="3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7"/>
      <c r="L641" s="37"/>
      <c r="M641" s="3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7"/>
      <c r="L642" s="37"/>
      <c r="M642" s="3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7"/>
      <c r="L643" s="37"/>
      <c r="M643" s="3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7"/>
      <c r="L644" s="37"/>
      <c r="M644" s="3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7"/>
      <c r="L645" s="37"/>
      <c r="M645" s="3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7"/>
      <c r="L646" s="37"/>
      <c r="M646" s="3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7"/>
      <c r="L647" s="37"/>
      <c r="M647" s="3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7"/>
      <c r="L648" s="37"/>
      <c r="M648" s="3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7"/>
      <c r="L649" s="37"/>
      <c r="M649" s="3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7"/>
      <c r="L650" s="37"/>
      <c r="M650" s="3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7"/>
      <c r="L651" s="37"/>
      <c r="M651" s="3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7"/>
      <c r="L652" s="37"/>
      <c r="M652" s="3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7"/>
      <c r="L653" s="37"/>
      <c r="M653" s="3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7"/>
      <c r="L654" s="37"/>
      <c r="M654" s="3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7"/>
      <c r="L655" s="37"/>
      <c r="M655" s="3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7"/>
      <c r="L656" s="37"/>
      <c r="M656" s="3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7"/>
      <c r="L657" s="37"/>
      <c r="M657" s="3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7"/>
      <c r="L658" s="37"/>
      <c r="M658" s="3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7"/>
      <c r="L659" s="37"/>
      <c r="M659" s="3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7"/>
      <c r="L660" s="37"/>
      <c r="M660" s="3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7"/>
      <c r="L661" s="37"/>
      <c r="M661" s="3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7"/>
      <c r="L662" s="37"/>
      <c r="M662" s="3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7"/>
      <c r="L663" s="37"/>
      <c r="M663" s="3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7"/>
      <c r="L664" s="37"/>
      <c r="M664" s="3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7"/>
      <c r="L665" s="37"/>
      <c r="M665" s="3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7"/>
      <c r="L666" s="37"/>
      <c r="M666" s="3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7"/>
      <c r="L667" s="37"/>
      <c r="M667" s="3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7"/>
      <c r="L668" s="37"/>
      <c r="M668" s="3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7"/>
      <c r="L669" s="37"/>
      <c r="M669" s="3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7"/>
      <c r="L670" s="37"/>
      <c r="M670" s="3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7"/>
      <c r="L671" s="37"/>
      <c r="M671" s="3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7"/>
      <c r="L672" s="37"/>
      <c r="M672" s="3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7"/>
      <c r="L673" s="37"/>
      <c r="M673" s="3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7"/>
      <c r="L674" s="37"/>
      <c r="M674" s="3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7"/>
      <c r="L675" s="37"/>
      <c r="M675" s="3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7"/>
      <c r="L676" s="37"/>
      <c r="M676" s="3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7"/>
      <c r="L677" s="37"/>
      <c r="M677" s="3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7"/>
      <c r="L678" s="37"/>
      <c r="M678" s="3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7"/>
      <c r="L679" s="37"/>
      <c r="M679" s="3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7"/>
      <c r="L680" s="37"/>
      <c r="M680" s="3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7"/>
      <c r="L681" s="37"/>
      <c r="M681" s="3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7"/>
      <c r="L682" s="37"/>
      <c r="M682" s="3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7"/>
      <c r="L683" s="37"/>
      <c r="M683" s="3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7"/>
      <c r="L684" s="37"/>
      <c r="M684" s="3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7"/>
      <c r="L685" s="37"/>
      <c r="M685" s="3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7"/>
      <c r="L686" s="37"/>
      <c r="M686" s="3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7"/>
      <c r="L687" s="37"/>
      <c r="M687" s="3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7"/>
      <c r="L688" s="37"/>
      <c r="M688" s="3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7"/>
      <c r="L689" s="37"/>
      <c r="M689" s="3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7"/>
      <c r="L690" s="37"/>
      <c r="M690" s="3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7"/>
      <c r="L691" s="37"/>
      <c r="M691" s="3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7"/>
      <c r="L692" s="37"/>
      <c r="M692" s="3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7"/>
      <c r="L693" s="37"/>
      <c r="M693" s="3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7"/>
      <c r="L694" s="37"/>
      <c r="M694" s="3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7"/>
      <c r="L695" s="37"/>
      <c r="M695" s="3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7"/>
      <c r="L696" s="37"/>
      <c r="M696" s="3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7"/>
      <c r="L697" s="37"/>
      <c r="M697" s="3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7"/>
      <c r="L698" s="37"/>
      <c r="M698" s="3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7"/>
      <c r="L699" s="37"/>
      <c r="M699" s="3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7"/>
      <c r="L700" s="37"/>
      <c r="M700" s="3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7"/>
      <c r="L701" s="37"/>
      <c r="M701" s="3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7"/>
      <c r="L702" s="37"/>
      <c r="M702" s="3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7"/>
      <c r="L703" s="37"/>
      <c r="M703" s="3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7"/>
      <c r="L704" s="37"/>
      <c r="M704" s="3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7"/>
      <c r="L705" s="37"/>
      <c r="M705" s="3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7"/>
      <c r="L706" s="37"/>
      <c r="M706" s="3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7"/>
      <c r="L707" s="37"/>
      <c r="M707" s="3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7"/>
      <c r="L708" s="37"/>
      <c r="M708" s="3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7"/>
      <c r="L709" s="37"/>
      <c r="M709" s="3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7"/>
      <c r="L710" s="37"/>
      <c r="M710" s="3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7"/>
      <c r="L711" s="37"/>
      <c r="M711" s="3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7"/>
      <c r="L712" s="37"/>
      <c r="M712" s="3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7"/>
      <c r="L713" s="37"/>
      <c r="M713" s="3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7"/>
      <c r="L714" s="37"/>
      <c r="M714" s="3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7"/>
      <c r="L715" s="37"/>
      <c r="M715" s="3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7"/>
      <c r="L716" s="37"/>
      <c r="M716" s="3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7"/>
      <c r="L717" s="37"/>
      <c r="M717" s="3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7"/>
      <c r="L718" s="37"/>
      <c r="M718" s="3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7"/>
      <c r="L719" s="37"/>
      <c r="M719" s="3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7"/>
      <c r="L720" s="37"/>
      <c r="M720" s="3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7"/>
      <c r="L721" s="37"/>
      <c r="M721" s="3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7"/>
      <c r="L722" s="37"/>
      <c r="M722" s="3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7"/>
      <c r="L723" s="37"/>
      <c r="M723" s="3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7"/>
      <c r="L724" s="37"/>
      <c r="M724" s="3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7"/>
      <c r="L725" s="37"/>
      <c r="M725" s="3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7"/>
      <c r="L726" s="37"/>
      <c r="M726" s="3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7"/>
      <c r="L727" s="37"/>
      <c r="M727" s="3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7"/>
      <c r="L728" s="37"/>
      <c r="M728" s="3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7"/>
      <c r="L729" s="37"/>
      <c r="M729" s="3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7"/>
      <c r="L730" s="37"/>
      <c r="M730" s="3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7"/>
      <c r="L731" s="37"/>
      <c r="M731" s="3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7"/>
      <c r="L732" s="37"/>
      <c r="M732" s="3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7"/>
      <c r="L733" s="37"/>
      <c r="M733" s="3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7"/>
      <c r="L734" s="37"/>
      <c r="M734" s="3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7"/>
      <c r="L735" s="37"/>
      <c r="M735" s="3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7"/>
      <c r="L736" s="37"/>
      <c r="M736" s="3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7"/>
      <c r="L737" s="37"/>
      <c r="M737" s="3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7"/>
      <c r="L738" s="37"/>
      <c r="M738" s="3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7"/>
      <c r="L739" s="37"/>
      <c r="M739" s="3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7"/>
      <c r="L740" s="37"/>
      <c r="M740" s="3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7"/>
      <c r="L741" s="37"/>
      <c r="M741" s="3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7"/>
      <c r="L742" s="37"/>
      <c r="M742" s="3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7"/>
      <c r="L743" s="37"/>
      <c r="M743" s="3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7"/>
      <c r="L744" s="37"/>
      <c r="M744" s="3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7"/>
      <c r="L745" s="37"/>
      <c r="M745" s="3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7"/>
      <c r="L746" s="37"/>
      <c r="M746" s="3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7"/>
      <c r="L747" s="37"/>
      <c r="M747" s="3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7"/>
      <c r="L748" s="37"/>
      <c r="M748" s="3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7"/>
      <c r="L749" s="37"/>
      <c r="M749" s="3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7"/>
      <c r="L750" s="37"/>
      <c r="M750" s="3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7"/>
      <c r="L751" s="37"/>
      <c r="M751" s="3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7"/>
      <c r="L752" s="37"/>
      <c r="M752" s="3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7"/>
      <c r="L753" s="37"/>
      <c r="M753" s="3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7"/>
      <c r="L754" s="37"/>
      <c r="M754" s="3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7"/>
      <c r="L755" s="37"/>
      <c r="M755" s="3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7"/>
      <c r="L756" s="37"/>
      <c r="M756" s="3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7"/>
      <c r="L757" s="37"/>
      <c r="M757" s="3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7"/>
      <c r="L758" s="37"/>
      <c r="M758" s="3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7"/>
      <c r="L759" s="37"/>
      <c r="M759" s="3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7"/>
      <c r="L760" s="37"/>
      <c r="M760" s="3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7"/>
      <c r="L761" s="37"/>
      <c r="M761" s="3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7"/>
      <c r="L762" s="37"/>
      <c r="M762" s="3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7"/>
      <c r="L763" s="37"/>
      <c r="M763" s="3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7"/>
      <c r="L764" s="37"/>
      <c r="M764" s="3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7"/>
      <c r="L765" s="37"/>
      <c r="M765" s="3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7"/>
      <c r="L766" s="37"/>
      <c r="M766" s="3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7"/>
      <c r="L767" s="37"/>
      <c r="M767" s="3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7"/>
      <c r="L768" s="37"/>
      <c r="M768" s="3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7"/>
      <c r="L769" s="37"/>
      <c r="M769" s="3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7"/>
      <c r="L770" s="37"/>
      <c r="M770" s="3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7"/>
      <c r="L771" s="37"/>
      <c r="M771" s="3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7"/>
      <c r="L772" s="37"/>
      <c r="M772" s="3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7"/>
      <c r="L773" s="37"/>
      <c r="M773" s="3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7"/>
      <c r="L774" s="37"/>
      <c r="M774" s="3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7"/>
      <c r="L775" s="37"/>
      <c r="M775" s="3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7"/>
      <c r="L776" s="37"/>
      <c r="M776" s="3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7"/>
      <c r="L777" s="37"/>
      <c r="M777" s="3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7"/>
      <c r="L778" s="37"/>
      <c r="M778" s="3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7"/>
      <c r="L779" s="37"/>
      <c r="M779" s="3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7"/>
      <c r="L780" s="37"/>
      <c r="M780" s="3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7"/>
      <c r="L781" s="37"/>
      <c r="M781" s="3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7"/>
      <c r="L782" s="37"/>
      <c r="M782" s="3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7"/>
      <c r="L783" s="37"/>
      <c r="M783" s="3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7"/>
      <c r="L784" s="37"/>
      <c r="M784" s="3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7"/>
      <c r="L785" s="37"/>
      <c r="M785" s="3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7"/>
      <c r="L786" s="37"/>
      <c r="M786" s="3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7"/>
      <c r="L787" s="37"/>
      <c r="M787" s="3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7"/>
      <c r="L788" s="37"/>
      <c r="M788" s="3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7"/>
      <c r="L789" s="37"/>
      <c r="M789" s="3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7"/>
      <c r="L790" s="37"/>
      <c r="M790" s="3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7"/>
      <c r="L791" s="37"/>
      <c r="M791" s="3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7"/>
      <c r="L792" s="37"/>
      <c r="M792" s="3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7"/>
      <c r="L793" s="37"/>
      <c r="M793" s="3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7"/>
      <c r="L794" s="37"/>
      <c r="M794" s="3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7"/>
      <c r="L795" s="37"/>
      <c r="M795" s="3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7"/>
      <c r="L796" s="37"/>
      <c r="M796" s="3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7"/>
      <c r="L797" s="37"/>
      <c r="M797" s="3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7"/>
      <c r="L798" s="37"/>
      <c r="M798" s="3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7"/>
      <c r="L799" s="37"/>
      <c r="M799" s="3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7"/>
      <c r="L800" s="37"/>
      <c r="M800" s="3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7"/>
      <c r="L801" s="37"/>
      <c r="M801" s="3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7"/>
      <c r="L802" s="37"/>
      <c r="M802" s="3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7"/>
      <c r="L803" s="37"/>
      <c r="M803" s="3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7"/>
      <c r="L804" s="37"/>
      <c r="M804" s="3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7"/>
      <c r="L805" s="37"/>
      <c r="M805" s="3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7"/>
      <c r="L806" s="37"/>
      <c r="M806" s="3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7"/>
      <c r="L807" s="37"/>
      <c r="M807" s="3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7"/>
      <c r="L808" s="37"/>
      <c r="M808" s="3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7"/>
      <c r="L809" s="37"/>
      <c r="M809" s="3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7"/>
      <c r="L810" s="37"/>
      <c r="M810" s="3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7"/>
      <c r="L811" s="37"/>
      <c r="M811" s="3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7"/>
      <c r="L812" s="37"/>
      <c r="M812" s="3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7"/>
      <c r="L813" s="37"/>
      <c r="M813" s="3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7"/>
      <c r="L814" s="37"/>
      <c r="M814" s="3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7"/>
      <c r="L815" s="37"/>
      <c r="M815" s="3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7"/>
      <c r="L816" s="37"/>
      <c r="M816" s="3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7"/>
      <c r="L817" s="37"/>
      <c r="M817" s="3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7"/>
      <c r="L818" s="37"/>
      <c r="M818" s="3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7"/>
      <c r="L819" s="37"/>
      <c r="M819" s="3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7"/>
      <c r="L820" s="37"/>
      <c r="M820" s="3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7"/>
      <c r="L821" s="37"/>
      <c r="M821" s="3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7"/>
      <c r="L822" s="37"/>
      <c r="M822" s="3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7"/>
      <c r="L823" s="37"/>
      <c r="M823" s="3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7"/>
      <c r="L824" s="37"/>
      <c r="M824" s="3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7"/>
      <c r="L825" s="37"/>
      <c r="M825" s="3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7"/>
      <c r="L826" s="37"/>
      <c r="M826" s="3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7"/>
      <c r="L827" s="37"/>
      <c r="M827" s="3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7"/>
      <c r="L828" s="37"/>
      <c r="M828" s="3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7"/>
      <c r="L829" s="37"/>
      <c r="M829" s="3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7"/>
      <c r="L830" s="37"/>
      <c r="M830" s="3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7"/>
      <c r="L831" s="37"/>
      <c r="M831" s="3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7"/>
      <c r="L832" s="37"/>
      <c r="M832" s="3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7"/>
      <c r="L833" s="37"/>
      <c r="M833" s="3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7"/>
      <c r="L834" s="37"/>
      <c r="M834" s="3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7"/>
      <c r="L835" s="37"/>
      <c r="M835" s="3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7"/>
      <c r="L836" s="37"/>
      <c r="M836" s="3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7"/>
      <c r="L837" s="37"/>
      <c r="M837" s="3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7"/>
      <c r="L838" s="37"/>
      <c r="M838" s="3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7"/>
      <c r="L839" s="37"/>
      <c r="M839" s="3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7"/>
      <c r="L840" s="37"/>
      <c r="M840" s="3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7"/>
      <c r="L841" s="37"/>
      <c r="M841" s="3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7"/>
      <c r="L842" s="37"/>
      <c r="M842" s="3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7"/>
      <c r="L843" s="37"/>
      <c r="M843" s="3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7"/>
      <c r="L844" s="37"/>
      <c r="M844" s="3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7"/>
      <c r="L845" s="37"/>
      <c r="M845" s="3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7"/>
      <c r="L846" s="37"/>
      <c r="M846" s="3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7"/>
      <c r="L847" s="37"/>
      <c r="M847" s="3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7"/>
      <c r="L848" s="37"/>
      <c r="M848" s="3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7"/>
      <c r="L849" s="37"/>
      <c r="M849" s="3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7"/>
      <c r="L850" s="37"/>
      <c r="M850" s="3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7"/>
      <c r="L851" s="37"/>
      <c r="M851" s="3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7"/>
      <c r="L852" s="37"/>
      <c r="M852" s="3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7"/>
      <c r="L853" s="37"/>
      <c r="M853" s="3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7"/>
      <c r="L854" s="37"/>
      <c r="M854" s="3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7"/>
      <c r="L855" s="37"/>
      <c r="M855" s="3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7"/>
      <c r="L856" s="37"/>
      <c r="M856" s="3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7"/>
      <c r="L857" s="37"/>
      <c r="M857" s="3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7"/>
      <c r="L858" s="37"/>
      <c r="M858" s="3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7"/>
      <c r="L859" s="37"/>
      <c r="M859" s="3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7"/>
      <c r="L860" s="37"/>
      <c r="M860" s="3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7"/>
      <c r="L861" s="37"/>
      <c r="M861" s="3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7"/>
      <c r="L862" s="37"/>
      <c r="M862" s="3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7"/>
      <c r="L863" s="37"/>
      <c r="M863" s="3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7"/>
      <c r="L864" s="37"/>
      <c r="M864" s="3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7"/>
      <c r="L865" s="37"/>
      <c r="M865" s="3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7"/>
      <c r="L866" s="37"/>
      <c r="M866" s="3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7"/>
      <c r="L867" s="37"/>
      <c r="M867" s="3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7"/>
      <c r="L868" s="37"/>
      <c r="M868" s="3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7"/>
      <c r="L869" s="37"/>
      <c r="M869" s="3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7"/>
      <c r="L870" s="37"/>
      <c r="M870" s="3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7"/>
      <c r="L871" s="37"/>
      <c r="M871" s="3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7"/>
      <c r="L872" s="37"/>
      <c r="M872" s="3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7"/>
      <c r="L873" s="37"/>
      <c r="M873" s="3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7"/>
      <c r="L874" s="37"/>
      <c r="M874" s="3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7"/>
      <c r="L875" s="37"/>
      <c r="M875" s="3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7"/>
      <c r="L876" s="37"/>
      <c r="M876" s="3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7"/>
      <c r="L877" s="37"/>
      <c r="M877" s="3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7"/>
      <c r="L878" s="37"/>
      <c r="M878" s="3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7"/>
      <c r="L879" s="37"/>
      <c r="M879" s="3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7"/>
      <c r="L880" s="37"/>
      <c r="M880" s="3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7"/>
      <c r="L881" s="37"/>
      <c r="M881" s="3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7"/>
      <c r="L882" s="37"/>
      <c r="M882" s="3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7"/>
      <c r="L883" s="37"/>
      <c r="M883" s="3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7"/>
      <c r="L884" s="37"/>
      <c r="M884" s="3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7"/>
      <c r="L885" s="37"/>
      <c r="M885" s="3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7"/>
      <c r="L886" s="37"/>
      <c r="M886" s="3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7"/>
      <c r="L887" s="37"/>
      <c r="M887" s="3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7"/>
      <c r="L888" s="37"/>
      <c r="M888" s="3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7"/>
      <c r="L889" s="37"/>
      <c r="M889" s="3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7"/>
      <c r="L890" s="37"/>
      <c r="M890" s="3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7"/>
      <c r="L891" s="37"/>
      <c r="M891" s="3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7"/>
      <c r="L892" s="37"/>
      <c r="M892" s="3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7"/>
      <c r="L893" s="37"/>
      <c r="M893" s="3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7"/>
      <c r="L894" s="37"/>
      <c r="M894" s="3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7"/>
      <c r="L895" s="37"/>
      <c r="M895" s="3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7"/>
      <c r="L896" s="37"/>
      <c r="M896" s="3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7"/>
      <c r="L897" s="37"/>
      <c r="M897" s="3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7"/>
      <c r="L898" s="37"/>
      <c r="M898" s="3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7"/>
      <c r="L899" s="37"/>
      <c r="M899" s="3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7"/>
      <c r="L900" s="37"/>
      <c r="M900" s="3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7"/>
      <c r="L901" s="37"/>
      <c r="M901" s="3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7"/>
      <c r="L902" s="37"/>
      <c r="M902" s="3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7"/>
      <c r="L903" s="37"/>
      <c r="M903" s="3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7"/>
      <c r="L904" s="37"/>
      <c r="M904" s="3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7"/>
      <c r="L905" s="37"/>
      <c r="M905" s="3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7"/>
      <c r="L906" s="37"/>
      <c r="M906" s="3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7"/>
      <c r="L907" s="37"/>
      <c r="M907" s="3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7"/>
      <c r="L908" s="37"/>
      <c r="M908" s="3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7"/>
      <c r="L909" s="37"/>
      <c r="M909" s="3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7"/>
      <c r="L910" s="37"/>
      <c r="M910" s="3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7"/>
      <c r="L911" s="37"/>
      <c r="M911" s="3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7"/>
      <c r="L912" s="37"/>
      <c r="M912" s="3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7"/>
      <c r="L913" s="37"/>
      <c r="M913" s="3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7"/>
      <c r="L914" s="37"/>
      <c r="M914" s="3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7"/>
      <c r="L915" s="37"/>
      <c r="M915" s="3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7"/>
      <c r="L916" s="37"/>
      <c r="M916" s="3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7"/>
      <c r="L917" s="37"/>
      <c r="M917" s="3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7"/>
      <c r="L918" s="37"/>
      <c r="M918" s="3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7"/>
      <c r="L919" s="37"/>
      <c r="M919" s="3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7"/>
      <c r="L920" s="37"/>
      <c r="M920" s="3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7"/>
      <c r="L921" s="37"/>
      <c r="M921" s="3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7"/>
      <c r="L922" s="37"/>
      <c r="M922" s="3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7"/>
      <c r="L923" s="37"/>
      <c r="M923" s="3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7"/>
      <c r="L924" s="37"/>
      <c r="M924" s="3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7"/>
      <c r="L925" s="37"/>
      <c r="M925" s="3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7"/>
      <c r="L926" s="37"/>
      <c r="M926" s="3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7"/>
      <c r="L927" s="37"/>
      <c r="M927" s="3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7"/>
      <c r="L928" s="37"/>
      <c r="M928" s="3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7"/>
      <c r="L929" s="37"/>
      <c r="M929" s="3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7"/>
      <c r="L930" s="37"/>
      <c r="M930" s="3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7"/>
      <c r="L931" s="37"/>
      <c r="M931" s="3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7"/>
      <c r="L932" s="37"/>
      <c r="M932" s="3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7"/>
      <c r="L933" s="37"/>
      <c r="M933" s="3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7"/>
      <c r="L934" s="37"/>
      <c r="M934" s="3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7"/>
      <c r="L935" s="37"/>
      <c r="M935" s="3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7"/>
      <c r="L936" s="37"/>
      <c r="M936" s="3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7"/>
      <c r="L937" s="37"/>
      <c r="M937" s="3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7"/>
      <c r="L938" s="37"/>
      <c r="M938" s="3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7"/>
      <c r="L939" s="37"/>
      <c r="M939" s="3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7"/>
      <c r="L940" s="37"/>
      <c r="M940" s="3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7"/>
      <c r="L941" s="37"/>
      <c r="M941" s="3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7"/>
      <c r="L942" s="37"/>
      <c r="M942" s="3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7"/>
      <c r="L943" s="37"/>
      <c r="M943" s="3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7"/>
      <c r="L944" s="37"/>
      <c r="M944" s="3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7"/>
      <c r="L945" s="37"/>
      <c r="M945" s="3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7"/>
      <c r="L946" s="37"/>
      <c r="M946" s="3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7"/>
      <c r="L947" s="37"/>
      <c r="M947" s="3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7"/>
      <c r="L948" s="37"/>
      <c r="M948" s="3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7"/>
      <c r="L949" s="37"/>
      <c r="M949" s="3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7"/>
      <c r="L950" s="37"/>
      <c r="M950" s="3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7"/>
      <c r="L951" s="37"/>
      <c r="M951" s="3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7"/>
      <c r="L952" s="37"/>
      <c r="M952" s="3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7"/>
      <c r="L953" s="37"/>
      <c r="M953" s="3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7"/>
      <c r="L954" s="37"/>
      <c r="M954" s="3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7"/>
      <c r="L955" s="37"/>
      <c r="M955" s="3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7"/>
      <c r="L956" s="37"/>
      <c r="M956" s="3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7"/>
      <c r="L957" s="37"/>
      <c r="M957" s="3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7"/>
      <c r="L958" s="37"/>
      <c r="M958" s="3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7"/>
      <c r="L959" s="37"/>
      <c r="M959" s="3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7"/>
      <c r="L960" s="37"/>
      <c r="M960" s="3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7"/>
      <c r="L961" s="37"/>
      <c r="M961" s="3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7"/>
      <c r="L962" s="37"/>
      <c r="M962" s="3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7"/>
      <c r="L963" s="37"/>
      <c r="M963" s="3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7"/>
      <c r="L964" s="37"/>
      <c r="M964" s="3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7"/>
      <c r="L965" s="37"/>
      <c r="M965" s="3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7"/>
      <c r="L966" s="37"/>
      <c r="M966" s="3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7"/>
      <c r="L967" s="37"/>
      <c r="M967" s="3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7"/>
      <c r="L968" s="37"/>
      <c r="M968" s="3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7"/>
      <c r="L969" s="37"/>
      <c r="M969" s="3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7"/>
      <c r="L970" s="37"/>
      <c r="M970" s="3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7"/>
      <c r="L971" s="37"/>
      <c r="M971" s="3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7"/>
      <c r="L972" s="37"/>
      <c r="M972" s="3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7"/>
      <c r="L973" s="37"/>
      <c r="M973" s="3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7"/>
      <c r="L974" s="37"/>
      <c r="M974" s="3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7"/>
      <c r="L975" s="37"/>
      <c r="M975" s="3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7"/>
      <c r="L976" s="37"/>
      <c r="M976" s="3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7"/>
      <c r="L977" s="37"/>
      <c r="M977" s="3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7"/>
      <c r="L978" s="37"/>
      <c r="M978" s="3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7"/>
      <c r="L979" s="37"/>
      <c r="M979" s="3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7"/>
      <c r="L980" s="37"/>
      <c r="M980" s="3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7"/>
      <c r="L981" s="37"/>
      <c r="M981" s="3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7"/>
      <c r="L982" s="37"/>
      <c r="M982" s="3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7"/>
      <c r="L983" s="37"/>
      <c r="M983" s="3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7"/>
      <c r="L984" s="37"/>
      <c r="M984" s="3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7"/>
      <c r="L985" s="37"/>
      <c r="M985" s="3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7"/>
      <c r="L986" s="37"/>
      <c r="M986" s="3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7"/>
      <c r="L987" s="37"/>
      <c r="M987" s="3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7"/>
      <c r="L988" s="37"/>
      <c r="M988" s="3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7"/>
      <c r="L989" s="37"/>
      <c r="M989" s="3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7"/>
      <c r="L990" s="37"/>
      <c r="M990" s="3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7"/>
      <c r="L991" s="37"/>
      <c r="M991" s="3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7"/>
      <c r="L992" s="37"/>
      <c r="M992" s="3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7"/>
      <c r="L993" s="37"/>
      <c r="M993" s="3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7"/>
      <c r="L994" s="37"/>
      <c r="M994" s="3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7"/>
      <c r="L995" s="37"/>
      <c r="M995" s="3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7"/>
      <c r="L996" s="37"/>
      <c r="M996" s="3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7"/>
      <c r="L997" s="37"/>
      <c r="M997" s="3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7"/>
      <c r="L998" s="37"/>
      <c r="M998" s="3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7"/>
      <c r="L999" s="37"/>
      <c r="M999" s="3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7"/>
      <c r="L1000" s="37"/>
      <c r="M1000" s="3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37"/>
      <c r="L1001" s="37"/>
      <c r="M1001" s="37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37"/>
      <c r="L1002" s="37"/>
      <c r="M1002" s="37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37"/>
      <c r="L1003" s="37"/>
      <c r="M1003" s="37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37"/>
      <c r="L1004" s="37"/>
      <c r="M1004" s="37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2.0"/>
    <col customWidth="1" min="3" max="3" width="24.14"/>
    <col customWidth="1" min="4" max="4" width="23.71"/>
    <col customWidth="1" min="5" max="16" width="17.29"/>
    <col customWidth="1" min="20" max="20" width="19.57"/>
    <col customWidth="1" min="21" max="21" width="21.43"/>
    <col customWidth="1" min="22" max="33" width="5.86"/>
  </cols>
  <sheetData>
    <row r="1">
      <c r="A1" s="38"/>
      <c r="B1" s="38"/>
      <c r="C1" s="39"/>
      <c r="D1" s="39"/>
      <c r="E1" s="40"/>
    </row>
    <row r="2">
      <c r="A2" s="38"/>
      <c r="B2" s="38"/>
      <c r="C2" s="39"/>
      <c r="D2" s="41"/>
      <c r="E2" s="42" t="s">
        <v>54</v>
      </c>
      <c r="F2" s="43"/>
      <c r="G2" s="44"/>
      <c r="H2" s="42" t="s">
        <v>55</v>
      </c>
      <c r="I2" s="43"/>
      <c r="J2" s="44"/>
      <c r="K2" s="42" t="s">
        <v>56</v>
      </c>
      <c r="L2" s="43"/>
      <c r="M2" s="44"/>
      <c r="N2" s="42" t="s">
        <v>57</v>
      </c>
      <c r="O2" s="43"/>
      <c r="P2" s="44"/>
    </row>
    <row r="3">
      <c r="A3" s="38"/>
      <c r="B3" s="38"/>
      <c r="C3" s="39"/>
      <c r="D3" s="41"/>
      <c r="E3" s="45" t="s">
        <v>58</v>
      </c>
      <c r="F3" s="45" t="s">
        <v>59</v>
      </c>
      <c r="G3" s="46" t="s">
        <v>60</v>
      </c>
      <c r="H3" s="45" t="s">
        <v>58</v>
      </c>
      <c r="I3" s="45" t="s">
        <v>59</v>
      </c>
      <c r="J3" s="46" t="s">
        <v>60</v>
      </c>
      <c r="K3" s="45" t="s">
        <v>58</v>
      </c>
      <c r="L3" s="45" t="s">
        <v>59</v>
      </c>
      <c r="M3" s="46" t="s">
        <v>60</v>
      </c>
      <c r="N3" s="45" t="s">
        <v>58</v>
      </c>
      <c r="O3" s="45" t="s">
        <v>59</v>
      </c>
      <c r="P3" s="46" t="s">
        <v>60</v>
      </c>
    </row>
    <row r="4">
      <c r="A4" s="38"/>
      <c r="B4" s="38"/>
      <c r="C4" s="39"/>
      <c r="D4" s="47" t="s">
        <v>61</v>
      </c>
      <c r="E4" s="48">
        <f t="shared" ref="E4:P4" si="1">average(E58:E93)</f>
        <v>0.1481481481</v>
      </c>
      <c r="F4" s="48">
        <f t="shared" si="1"/>
        <v>0.5277777778</v>
      </c>
      <c r="G4" s="49">
        <f t="shared" si="1"/>
        <v>0.712962963</v>
      </c>
      <c r="H4" s="48">
        <f t="shared" si="1"/>
        <v>0.1388888889</v>
      </c>
      <c r="I4" s="48">
        <f t="shared" si="1"/>
        <v>0.4814814815</v>
      </c>
      <c r="J4" s="49">
        <f t="shared" si="1"/>
        <v>0.6759259259</v>
      </c>
      <c r="K4" s="48">
        <f t="shared" si="1"/>
        <v>0.1203703704</v>
      </c>
      <c r="L4" s="48">
        <f t="shared" si="1"/>
        <v>0.4074074074</v>
      </c>
      <c r="M4" s="49">
        <f t="shared" si="1"/>
        <v>0.6666666667</v>
      </c>
      <c r="N4" s="48">
        <f t="shared" si="1"/>
        <v>0.2407407407</v>
      </c>
      <c r="O4" s="48">
        <f t="shared" si="1"/>
        <v>0.5648148148</v>
      </c>
      <c r="P4" s="50">
        <f t="shared" si="1"/>
        <v>0.6944444444</v>
      </c>
    </row>
    <row r="5">
      <c r="A5" s="38"/>
      <c r="B5" s="38"/>
      <c r="C5" s="39"/>
      <c r="D5" s="47" t="s">
        <v>62</v>
      </c>
      <c r="E5" s="48">
        <f t="shared" ref="E5:P5" si="2">average(E22:E57)</f>
        <v>0.2407407407</v>
      </c>
      <c r="F5" s="48">
        <f t="shared" si="2"/>
        <v>0.5925925926</v>
      </c>
      <c r="G5" s="49">
        <f t="shared" si="2"/>
        <v>0.6296296296</v>
      </c>
      <c r="H5" s="48">
        <f t="shared" si="2"/>
        <v>0.25</v>
      </c>
      <c r="I5" s="48">
        <f t="shared" si="2"/>
        <v>0.5462962963</v>
      </c>
      <c r="J5" s="49">
        <f t="shared" si="2"/>
        <v>0.5740740741</v>
      </c>
      <c r="K5" s="48">
        <f t="shared" si="2"/>
        <v>0.3240740741</v>
      </c>
      <c r="L5" s="48">
        <f t="shared" si="2"/>
        <v>0.6111111111</v>
      </c>
      <c r="M5" s="49">
        <f t="shared" si="2"/>
        <v>0.6296296296</v>
      </c>
      <c r="N5" s="48">
        <f t="shared" si="2"/>
        <v>0.2592592593</v>
      </c>
      <c r="O5" s="48">
        <f t="shared" si="2"/>
        <v>0.5555555556</v>
      </c>
      <c r="P5" s="50">
        <f t="shared" si="2"/>
        <v>0.6111111111</v>
      </c>
    </row>
    <row r="6">
      <c r="A6" s="38"/>
      <c r="B6" s="38"/>
      <c r="C6" s="39"/>
      <c r="D6" s="47" t="s">
        <v>63</v>
      </c>
      <c r="E6" s="48">
        <f t="shared" ref="E6:P6" si="3">average(E10:E21)</f>
        <v>0.25</v>
      </c>
      <c r="F6" s="48">
        <f t="shared" si="3"/>
        <v>0.5</v>
      </c>
      <c r="G6" s="49">
        <f t="shared" si="3"/>
        <v>0.5833333333</v>
      </c>
      <c r="H6" s="48">
        <f t="shared" si="3"/>
        <v>0.3055555556</v>
      </c>
      <c r="I6" s="48">
        <f t="shared" si="3"/>
        <v>0.4722222222</v>
      </c>
      <c r="J6" s="49">
        <f t="shared" si="3"/>
        <v>0.5555555556</v>
      </c>
      <c r="K6" s="48">
        <f t="shared" si="3"/>
        <v>0.3888888889</v>
      </c>
      <c r="L6" s="48">
        <f t="shared" si="3"/>
        <v>0.5277777778</v>
      </c>
      <c r="M6" s="49">
        <f t="shared" si="3"/>
        <v>0.5555555556</v>
      </c>
      <c r="N6" s="48">
        <f t="shared" si="3"/>
        <v>0.25</v>
      </c>
      <c r="O6" s="48">
        <f t="shared" si="3"/>
        <v>0.5555555556</v>
      </c>
      <c r="P6" s="50">
        <f t="shared" si="3"/>
        <v>0.5555555556</v>
      </c>
    </row>
    <row r="7">
      <c r="A7" s="38"/>
      <c r="B7" s="38"/>
      <c r="C7" s="39"/>
      <c r="D7" s="51" t="s">
        <v>64</v>
      </c>
      <c r="E7" s="52">
        <f t="shared" ref="E7:P7" si="4">average(E10:E93)</f>
        <v>0.2023809524</v>
      </c>
      <c r="F7" s="52">
        <f t="shared" si="4"/>
        <v>0.5515873016</v>
      </c>
      <c r="G7" s="53">
        <f t="shared" si="4"/>
        <v>0.6587301587</v>
      </c>
      <c r="H7" s="52">
        <f t="shared" si="4"/>
        <v>0.2103174603</v>
      </c>
      <c r="I7" s="52">
        <f t="shared" si="4"/>
        <v>0.5079365079</v>
      </c>
      <c r="J7" s="53">
        <f t="shared" si="4"/>
        <v>0.6150793651</v>
      </c>
      <c r="K7" s="52">
        <f t="shared" si="4"/>
        <v>0.246031746</v>
      </c>
      <c r="L7" s="52">
        <f t="shared" si="4"/>
        <v>0.5119047619</v>
      </c>
      <c r="M7" s="53">
        <f t="shared" si="4"/>
        <v>0.6349206349</v>
      </c>
      <c r="N7" s="52">
        <f t="shared" si="4"/>
        <v>0.25</v>
      </c>
      <c r="O7" s="52">
        <f t="shared" si="4"/>
        <v>0.5595238095</v>
      </c>
      <c r="P7" s="54">
        <f t="shared" si="4"/>
        <v>0.6388888889</v>
      </c>
    </row>
    <row r="8">
      <c r="A8" s="38"/>
      <c r="B8" s="38"/>
      <c r="C8" s="39"/>
      <c r="D8" s="39"/>
      <c r="E8" s="40"/>
      <c r="F8" s="40"/>
      <c r="G8" s="40"/>
      <c r="H8" s="40"/>
      <c r="I8" s="40"/>
      <c r="J8" s="40"/>
      <c r="K8" s="40"/>
      <c r="L8" s="40"/>
      <c r="M8" s="40"/>
      <c r="S8" s="55"/>
      <c r="T8" s="55"/>
      <c r="U8" s="56"/>
      <c r="V8" s="57" t="s">
        <v>65</v>
      </c>
      <c r="W8" s="43"/>
      <c r="X8" s="43"/>
      <c r="Y8" s="44"/>
      <c r="Z8" s="57" t="s">
        <v>66</v>
      </c>
      <c r="AA8" s="43"/>
      <c r="AB8" s="43"/>
      <c r="AC8" s="44"/>
      <c r="AD8" s="57" t="s">
        <v>67</v>
      </c>
      <c r="AE8" s="43"/>
      <c r="AF8" s="43"/>
      <c r="AG8" s="44"/>
    </row>
    <row r="9">
      <c r="A9" s="38" t="s">
        <v>68</v>
      </c>
      <c r="B9" s="38" t="s">
        <v>69</v>
      </c>
      <c r="C9" s="38" t="s">
        <v>70</v>
      </c>
      <c r="D9" s="38" t="s">
        <v>71</v>
      </c>
      <c r="E9" s="40"/>
      <c r="F9" s="40"/>
      <c r="G9" s="40"/>
      <c r="H9" s="40"/>
      <c r="I9" s="40"/>
      <c r="J9" s="40"/>
      <c r="K9" s="40"/>
      <c r="L9" s="40"/>
      <c r="M9" s="40"/>
      <c r="S9" s="56"/>
      <c r="T9" s="56"/>
      <c r="U9" s="56"/>
      <c r="V9" s="55" t="s">
        <v>72</v>
      </c>
      <c r="W9" s="55" t="s">
        <v>55</v>
      </c>
      <c r="X9" s="55" t="s">
        <v>56</v>
      </c>
      <c r="Y9" s="55" t="s">
        <v>57</v>
      </c>
      <c r="Z9" s="55" t="s">
        <v>72</v>
      </c>
      <c r="AA9" s="55" t="s">
        <v>55</v>
      </c>
      <c r="AB9" s="55" t="s">
        <v>56</v>
      </c>
      <c r="AC9" s="55" t="s">
        <v>57</v>
      </c>
      <c r="AD9" s="55" t="s">
        <v>72</v>
      </c>
      <c r="AE9" s="55" t="s">
        <v>55</v>
      </c>
      <c r="AF9" s="55" t="s">
        <v>56</v>
      </c>
      <c r="AG9" s="55" t="s">
        <v>57</v>
      </c>
      <c r="AI9" s="38" t="s">
        <v>73</v>
      </c>
    </row>
    <row r="10">
      <c r="A10" s="38">
        <v>601.0</v>
      </c>
      <c r="B10" s="38" t="s">
        <v>25</v>
      </c>
      <c r="C10" s="39" t="s">
        <v>26</v>
      </c>
      <c r="D10" s="39" t="s">
        <v>27</v>
      </c>
      <c r="E10" s="40">
        <v>0.3333333333333333</v>
      </c>
      <c r="F10" s="40">
        <v>0.6666666666666666</v>
      </c>
      <c r="G10" s="40">
        <v>0.6666666666666666</v>
      </c>
      <c r="H10" s="40">
        <v>0.6666666666666666</v>
      </c>
      <c r="I10" s="40">
        <v>0.6666666666666666</v>
      </c>
      <c r="J10" s="40">
        <v>0.6666666666666666</v>
      </c>
      <c r="K10" s="40">
        <v>0.6666666666666666</v>
      </c>
      <c r="L10" s="40">
        <v>0.6666666666666666</v>
      </c>
      <c r="M10" s="40">
        <v>0.6666666666666666</v>
      </c>
      <c r="N10" s="40">
        <v>0.3333333333333333</v>
      </c>
      <c r="O10" s="40">
        <v>0.6666666666666666</v>
      </c>
      <c r="P10" s="40">
        <v>0.6666666666666666</v>
      </c>
      <c r="R10" s="38"/>
      <c r="S10" s="58" t="s">
        <v>25</v>
      </c>
      <c r="T10" s="59" t="s">
        <v>26</v>
      </c>
      <c r="U10" s="60" t="s">
        <v>27</v>
      </c>
      <c r="V10" s="61">
        <v>0.3333333333333333</v>
      </c>
      <c r="W10" s="61">
        <v>0.6666666666666666</v>
      </c>
      <c r="X10" s="61">
        <v>0.6666666666666666</v>
      </c>
      <c r="Y10" s="61">
        <v>0.3333333333333333</v>
      </c>
      <c r="Z10" s="61">
        <v>0.6666666666666666</v>
      </c>
      <c r="AA10" s="61">
        <v>0.6666666666666666</v>
      </c>
      <c r="AB10" s="61">
        <v>0.6666666666666666</v>
      </c>
      <c r="AC10" s="61">
        <v>0.6666666666666666</v>
      </c>
      <c r="AD10" s="61">
        <v>0.6666666666666666</v>
      </c>
      <c r="AE10" s="61">
        <v>0.6666666666666666</v>
      </c>
      <c r="AF10" s="61">
        <v>0.6666666666666666</v>
      </c>
      <c r="AG10" s="61">
        <v>0.6666666666666666</v>
      </c>
    </row>
    <row r="11">
      <c r="A11" s="38">
        <v>622.0</v>
      </c>
      <c r="B11" s="38" t="s">
        <v>25</v>
      </c>
      <c r="C11" s="39" t="s">
        <v>26</v>
      </c>
      <c r="D11" s="38" t="s">
        <v>32</v>
      </c>
      <c r="E11" s="40">
        <v>1.0</v>
      </c>
      <c r="F11" s="40">
        <v>1.0</v>
      </c>
      <c r="G11" s="40">
        <v>0.6666666666666666</v>
      </c>
      <c r="H11" s="40">
        <v>1.0</v>
      </c>
      <c r="I11" s="40">
        <v>1.0</v>
      </c>
      <c r="J11" s="40">
        <v>1.0</v>
      </c>
      <c r="K11" s="40">
        <v>1.0</v>
      </c>
      <c r="L11" s="40">
        <v>1.0</v>
      </c>
      <c r="M11" s="40">
        <v>1.0</v>
      </c>
      <c r="N11" s="40">
        <v>1.0</v>
      </c>
      <c r="O11" s="40">
        <v>1.0</v>
      </c>
      <c r="P11" s="40">
        <v>1.0</v>
      </c>
      <c r="R11" s="38"/>
      <c r="S11" s="62"/>
      <c r="T11" s="62"/>
      <c r="U11" s="55" t="s">
        <v>32</v>
      </c>
      <c r="V11" s="61">
        <v>1.0</v>
      </c>
      <c r="W11" s="61">
        <v>1.0</v>
      </c>
      <c r="X11" s="61">
        <v>1.0</v>
      </c>
      <c r="Y11" s="61">
        <v>1.0</v>
      </c>
      <c r="Z11" s="61">
        <v>1.0</v>
      </c>
      <c r="AA11" s="61">
        <v>1.0</v>
      </c>
      <c r="AB11" s="61">
        <v>1.0</v>
      </c>
      <c r="AC11" s="61">
        <v>1.0</v>
      </c>
      <c r="AD11" s="61">
        <v>0.6666666666666666</v>
      </c>
      <c r="AE11" s="61">
        <v>1.0</v>
      </c>
      <c r="AF11" s="61">
        <v>1.0</v>
      </c>
      <c r="AG11" s="61">
        <v>1.0</v>
      </c>
      <c r="AI11" s="38">
        <v>0.0</v>
      </c>
      <c r="AJ11" s="38">
        <v>0.0</v>
      </c>
      <c r="AK11" s="40">
        <f t="shared" ref="AK11:AK20" si="5">AJ11/9</f>
        <v>0</v>
      </c>
      <c r="AL11" s="38" t="s">
        <v>74</v>
      </c>
    </row>
    <row r="12">
      <c r="A12" s="38">
        <v>641.0</v>
      </c>
      <c r="B12" s="38" t="s">
        <v>25</v>
      </c>
      <c r="C12" s="39" t="s">
        <v>26</v>
      </c>
      <c r="D12" s="38" t="s">
        <v>34</v>
      </c>
      <c r="E12" s="40">
        <v>0.0</v>
      </c>
      <c r="F12" s="40">
        <v>0.3333333333333333</v>
      </c>
      <c r="G12" s="40">
        <v>0.3333333333333333</v>
      </c>
      <c r="H12" s="40">
        <v>0.0</v>
      </c>
      <c r="I12" s="40">
        <v>0.0</v>
      </c>
      <c r="J12" s="40">
        <v>0.6666666666666666</v>
      </c>
      <c r="K12" s="40">
        <v>0.3333333333333333</v>
      </c>
      <c r="L12" s="40">
        <v>0.3333333333333333</v>
      </c>
      <c r="M12" s="40">
        <v>0.6666666666666666</v>
      </c>
      <c r="N12" s="40">
        <v>0.0</v>
      </c>
      <c r="O12" s="40">
        <v>0.3333333333333333</v>
      </c>
      <c r="P12" s="40">
        <v>0.6666666666666666</v>
      </c>
      <c r="R12" s="38"/>
      <c r="S12" s="62"/>
      <c r="T12" s="62"/>
      <c r="U12" s="55" t="s">
        <v>34</v>
      </c>
      <c r="V12" s="61">
        <v>0.0</v>
      </c>
      <c r="W12" s="61">
        <v>0.0</v>
      </c>
      <c r="X12" s="61">
        <v>0.3333333333333333</v>
      </c>
      <c r="Y12" s="61">
        <v>0.0</v>
      </c>
      <c r="Z12" s="61">
        <v>0.3333333333333333</v>
      </c>
      <c r="AA12" s="61">
        <v>0.0</v>
      </c>
      <c r="AB12" s="61">
        <v>0.3333333333333333</v>
      </c>
      <c r="AC12" s="61">
        <v>0.3333333333333333</v>
      </c>
      <c r="AD12" s="61">
        <v>0.3333333333333333</v>
      </c>
      <c r="AE12" s="61">
        <v>0.6666666666666666</v>
      </c>
      <c r="AF12" s="61">
        <v>0.6666666666666666</v>
      </c>
      <c r="AG12" s="61">
        <v>0.6666666666666666</v>
      </c>
      <c r="AJ12" s="38">
        <v>1.0</v>
      </c>
      <c r="AK12" s="40">
        <f t="shared" si="5"/>
        <v>0.1111111111</v>
      </c>
      <c r="AL12" s="38" t="s">
        <v>75</v>
      </c>
    </row>
    <row r="13">
      <c r="A13" s="38">
        <v>681.0</v>
      </c>
      <c r="B13" s="38" t="s">
        <v>25</v>
      </c>
      <c r="C13" s="39" t="s">
        <v>26</v>
      </c>
      <c r="D13" s="38" t="s">
        <v>35</v>
      </c>
      <c r="E13" s="40">
        <v>0.0</v>
      </c>
      <c r="F13" s="40">
        <v>0.3333333333333333</v>
      </c>
      <c r="G13" s="40">
        <v>0.6666666666666666</v>
      </c>
      <c r="H13" s="40">
        <v>0.3333333333333333</v>
      </c>
      <c r="I13" s="40">
        <v>0.3333333333333333</v>
      </c>
      <c r="J13" s="40">
        <v>0.6666666666666666</v>
      </c>
      <c r="K13" s="40">
        <v>0.6666666666666666</v>
      </c>
      <c r="L13" s="40">
        <v>0.3333333333333333</v>
      </c>
      <c r="M13" s="40">
        <v>0.3333333333333333</v>
      </c>
      <c r="N13" s="40">
        <v>0.6666666666666666</v>
      </c>
      <c r="O13" s="40">
        <v>0.3333333333333333</v>
      </c>
      <c r="P13" s="40">
        <v>0.6666666666666666</v>
      </c>
      <c r="R13" s="38"/>
      <c r="S13" s="62"/>
      <c r="T13" s="63"/>
      <c r="U13" s="55" t="s">
        <v>35</v>
      </c>
      <c r="V13" s="61">
        <v>0.0</v>
      </c>
      <c r="W13" s="61">
        <v>0.3333333333333333</v>
      </c>
      <c r="X13" s="61">
        <v>0.6666666666666666</v>
      </c>
      <c r="Y13" s="61">
        <v>0.6666666666666666</v>
      </c>
      <c r="Z13" s="61">
        <v>0.3333333333333333</v>
      </c>
      <c r="AA13" s="61">
        <v>0.3333333333333333</v>
      </c>
      <c r="AB13" s="61">
        <v>0.3333333333333333</v>
      </c>
      <c r="AC13" s="61">
        <v>0.3333333333333333</v>
      </c>
      <c r="AD13" s="61">
        <v>0.6666666666666666</v>
      </c>
      <c r="AE13" s="61">
        <v>0.6666666666666666</v>
      </c>
      <c r="AF13" s="61">
        <v>0.3333333333333333</v>
      </c>
      <c r="AG13" s="61">
        <v>0.6666666666666666</v>
      </c>
      <c r="AJ13" s="38">
        <v>2.0</v>
      </c>
      <c r="AK13" s="40">
        <f t="shared" si="5"/>
        <v>0.2222222222</v>
      </c>
      <c r="AL13" s="38" t="s">
        <v>76</v>
      </c>
    </row>
    <row r="14">
      <c r="A14" s="38">
        <v>692.0</v>
      </c>
      <c r="B14" s="38" t="s">
        <v>25</v>
      </c>
      <c r="C14" s="38" t="s">
        <v>36</v>
      </c>
      <c r="D14" s="38" t="s">
        <v>37</v>
      </c>
      <c r="E14" s="40">
        <v>0.0</v>
      </c>
      <c r="F14" s="40">
        <v>0.3333333333333333</v>
      </c>
      <c r="G14" s="40">
        <v>0.3333333333333333</v>
      </c>
      <c r="H14" s="40">
        <v>0.0</v>
      </c>
      <c r="I14" s="40">
        <v>0.3333333333333333</v>
      </c>
      <c r="J14" s="40">
        <v>0.0</v>
      </c>
      <c r="K14" s="40">
        <v>0.0</v>
      </c>
      <c r="L14" s="40">
        <v>0.0</v>
      </c>
      <c r="M14" s="40">
        <v>0.0</v>
      </c>
      <c r="N14" s="40">
        <v>0.0</v>
      </c>
      <c r="O14" s="40">
        <v>0.3333333333333333</v>
      </c>
      <c r="P14" s="40">
        <v>0.3333333333333333</v>
      </c>
      <c r="R14" s="38"/>
      <c r="S14" s="62"/>
      <c r="T14" s="58" t="s">
        <v>36</v>
      </c>
      <c r="U14" s="55" t="s">
        <v>37</v>
      </c>
      <c r="V14" s="61">
        <v>0.0</v>
      </c>
      <c r="W14" s="61">
        <v>0.0</v>
      </c>
      <c r="X14" s="61">
        <v>0.0</v>
      </c>
      <c r="Y14" s="61">
        <v>0.0</v>
      </c>
      <c r="Z14" s="61">
        <v>0.3333333333333333</v>
      </c>
      <c r="AA14" s="61">
        <v>0.3333333333333333</v>
      </c>
      <c r="AB14" s="61">
        <v>0.0</v>
      </c>
      <c r="AC14" s="61">
        <v>0.3333333333333333</v>
      </c>
      <c r="AD14" s="61">
        <v>0.3333333333333333</v>
      </c>
      <c r="AE14" s="61">
        <v>0.0</v>
      </c>
      <c r="AF14" s="61">
        <v>0.0</v>
      </c>
      <c r="AG14" s="61">
        <v>0.3333333333333333</v>
      </c>
      <c r="AI14" s="38">
        <v>1.0</v>
      </c>
      <c r="AJ14" s="38">
        <v>3.0</v>
      </c>
      <c r="AK14" s="40">
        <f t="shared" si="5"/>
        <v>0.3333333333</v>
      </c>
      <c r="AL14" s="38" t="s">
        <v>77</v>
      </c>
    </row>
    <row r="15">
      <c r="A15" s="38">
        <v>702.0</v>
      </c>
      <c r="B15" s="38" t="s">
        <v>25</v>
      </c>
      <c r="C15" s="38" t="s">
        <v>36</v>
      </c>
      <c r="D15" s="38" t="s">
        <v>38</v>
      </c>
      <c r="E15" s="40">
        <v>0.0</v>
      </c>
      <c r="F15" s="40">
        <v>1.0</v>
      </c>
      <c r="G15" s="40">
        <v>0.6666666666666666</v>
      </c>
      <c r="H15" s="40">
        <v>0.0</v>
      </c>
      <c r="I15" s="40">
        <v>0.6666666666666666</v>
      </c>
      <c r="J15" s="40">
        <v>0.3333333333333333</v>
      </c>
      <c r="K15" s="40">
        <v>0.0</v>
      </c>
      <c r="L15" s="40">
        <v>0.3333333333333333</v>
      </c>
      <c r="M15" s="40">
        <v>0.3333333333333333</v>
      </c>
      <c r="N15" s="40">
        <v>0.0</v>
      </c>
      <c r="O15" s="40">
        <v>0.6666666666666666</v>
      </c>
      <c r="P15" s="40">
        <v>0.6666666666666666</v>
      </c>
      <c r="R15" s="38"/>
      <c r="S15" s="62"/>
      <c r="T15" s="62"/>
      <c r="U15" s="55" t="s">
        <v>38</v>
      </c>
      <c r="V15" s="61">
        <v>0.0</v>
      </c>
      <c r="W15" s="61">
        <v>0.0</v>
      </c>
      <c r="X15" s="61">
        <v>0.0</v>
      </c>
      <c r="Y15" s="61">
        <v>0.0</v>
      </c>
      <c r="Z15" s="61">
        <v>1.0</v>
      </c>
      <c r="AA15" s="61">
        <v>0.6666666666666666</v>
      </c>
      <c r="AB15" s="61">
        <v>0.3333333333333333</v>
      </c>
      <c r="AC15" s="61">
        <v>0.6666666666666666</v>
      </c>
      <c r="AD15" s="61">
        <v>0.6666666666666666</v>
      </c>
      <c r="AE15" s="61">
        <v>0.3333333333333333</v>
      </c>
      <c r="AF15" s="61">
        <v>0.3333333333333333</v>
      </c>
      <c r="AG15" s="61">
        <v>0.6666666666666666</v>
      </c>
      <c r="AJ15" s="38">
        <v>4.0</v>
      </c>
      <c r="AK15" s="40">
        <f t="shared" si="5"/>
        <v>0.4444444444</v>
      </c>
      <c r="AL15" s="38" t="s">
        <v>78</v>
      </c>
    </row>
    <row r="16">
      <c r="A16" s="38">
        <v>711.0</v>
      </c>
      <c r="B16" s="38" t="s">
        <v>25</v>
      </c>
      <c r="C16" s="38" t="s">
        <v>36</v>
      </c>
      <c r="D16" s="38" t="s">
        <v>39</v>
      </c>
      <c r="E16" s="40">
        <v>0.0</v>
      </c>
      <c r="F16" s="40">
        <v>0.0</v>
      </c>
      <c r="G16" s="40">
        <v>0.6666666666666666</v>
      </c>
      <c r="H16" s="40">
        <v>0.0</v>
      </c>
      <c r="I16" s="40">
        <v>0.0</v>
      </c>
      <c r="J16" s="40">
        <v>0.3333333333333333</v>
      </c>
      <c r="K16" s="40">
        <v>0.0</v>
      </c>
      <c r="L16" s="40">
        <v>0.6666666666666666</v>
      </c>
      <c r="M16" s="40">
        <v>0.3333333333333333</v>
      </c>
      <c r="N16" s="40">
        <v>0.0</v>
      </c>
      <c r="O16" s="40">
        <v>0.3333333333333333</v>
      </c>
      <c r="P16" s="40">
        <v>0.3333333333333333</v>
      </c>
      <c r="R16" s="38"/>
      <c r="S16" s="62"/>
      <c r="T16" s="62"/>
      <c r="U16" s="55" t="s">
        <v>39</v>
      </c>
      <c r="V16" s="61">
        <v>0.0</v>
      </c>
      <c r="W16" s="61">
        <v>0.0</v>
      </c>
      <c r="X16" s="61">
        <v>0.0</v>
      </c>
      <c r="Y16" s="61">
        <v>0.0</v>
      </c>
      <c r="Z16" s="61">
        <v>0.0</v>
      </c>
      <c r="AA16" s="61">
        <v>0.0</v>
      </c>
      <c r="AB16" s="61">
        <v>0.6666666666666666</v>
      </c>
      <c r="AC16" s="61">
        <v>0.3333333333333333</v>
      </c>
      <c r="AD16" s="61">
        <v>0.6666666666666666</v>
      </c>
      <c r="AE16" s="61">
        <v>0.3333333333333333</v>
      </c>
      <c r="AF16" s="61">
        <v>0.3333333333333333</v>
      </c>
      <c r="AG16" s="61">
        <v>0.3333333333333333</v>
      </c>
      <c r="AJ16" s="38">
        <v>5.0</v>
      </c>
      <c r="AK16" s="40">
        <f t="shared" si="5"/>
        <v>0.5555555556</v>
      </c>
      <c r="AL16" s="38" t="s">
        <v>79</v>
      </c>
    </row>
    <row r="17">
      <c r="A17" s="38">
        <v>721.0</v>
      </c>
      <c r="B17" s="38" t="s">
        <v>25</v>
      </c>
      <c r="C17" s="38" t="s">
        <v>36</v>
      </c>
      <c r="D17" s="38" t="s">
        <v>40</v>
      </c>
      <c r="E17" s="40">
        <v>0.6666666666666666</v>
      </c>
      <c r="F17" s="40">
        <v>0.6666666666666666</v>
      </c>
      <c r="G17" s="40">
        <v>1.0</v>
      </c>
      <c r="H17" s="40">
        <v>0.6666666666666666</v>
      </c>
      <c r="I17" s="40">
        <v>0.6666666666666666</v>
      </c>
      <c r="J17" s="40">
        <v>1.0</v>
      </c>
      <c r="K17" s="40">
        <v>0.3333333333333333</v>
      </c>
      <c r="L17" s="40">
        <v>0.6666666666666666</v>
      </c>
      <c r="M17" s="40">
        <v>1.0</v>
      </c>
      <c r="N17" s="40">
        <v>0.3333333333333333</v>
      </c>
      <c r="O17" s="40">
        <v>0.6666666666666666</v>
      </c>
      <c r="P17" s="40">
        <v>1.0</v>
      </c>
      <c r="R17" s="38"/>
      <c r="S17" s="62"/>
      <c r="T17" s="63"/>
      <c r="U17" s="55" t="s">
        <v>40</v>
      </c>
      <c r="V17" s="61">
        <v>0.6666666666666666</v>
      </c>
      <c r="W17" s="61">
        <v>0.6666666666666666</v>
      </c>
      <c r="X17" s="61">
        <v>0.3333333333333333</v>
      </c>
      <c r="Y17" s="61">
        <v>0.3333333333333333</v>
      </c>
      <c r="Z17" s="61">
        <v>0.6666666666666666</v>
      </c>
      <c r="AA17" s="61">
        <v>0.6666666666666666</v>
      </c>
      <c r="AB17" s="61">
        <v>0.6666666666666666</v>
      </c>
      <c r="AC17" s="61">
        <v>0.6666666666666666</v>
      </c>
      <c r="AD17" s="61">
        <v>1.0</v>
      </c>
      <c r="AE17" s="61">
        <v>1.0</v>
      </c>
      <c r="AF17" s="61">
        <v>1.0</v>
      </c>
      <c r="AG17" s="61">
        <v>1.0</v>
      </c>
      <c r="AI17" s="38">
        <v>2.0</v>
      </c>
      <c r="AJ17" s="38">
        <v>6.0</v>
      </c>
      <c r="AK17" s="40">
        <f t="shared" si="5"/>
        <v>0.6666666667</v>
      </c>
      <c r="AL17" s="38" t="s">
        <v>80</v>
      </c>
    </row>
    <row r="18">
      <c r="A18" s="38">
        <v>821.0</v>
      </c>
      <c r="B18" s="38" t="s">
        <v>25</v>
      </c>
      <c r="C18" s="38" t="s">
        <v>41</v>
      </c>
      <c r="D18" s="38" t="s">
        <v>42</v>
      </c>
      <c r="E18" s="40">
        <v>0.3333333333333333</v>
      </c>
      <c r="F18" s="40">
        <v>0.6666666666666666</v>
      </c>
      <c r="G18" s="40">
        <v>0.6666666666666666</v>
      </c>
      <c r="H18" s="40">
        <v>0.3333333333333333</v>
      </c>
      <c r="I18" s="40">
        <v>1.0</v>
      </c>
      <c r="J18" s="40">
        <v>0.6666666666666666</v>
      </c>
      <c r="K18" s="40">
        <v>1.0</v>
      </c>
      <c r="L18" s="40">
        <v>1.0</v>
      </c>
      <c r="M18" s="40">
        <v>1.0</v>
      </c>
      <c r="N18" s="40">
        <v>0.3333333333333333</v>
      </c>
      <c r="O18" s="40">
        <v>1.0</v>
      </c>
      <c r="P18" s="40">
        <v>0.3333333333333333</v>
      </c>
      <c r="R18" s="38"/>
      <c r="S18" s="62"/>
      <c r="T18" s="58" t="s">
        <v>41</v>
      </c>
      <c r="U18" s="55" t="s">
        <v>42</v>
      </c>
      <c r="V18" s="61">
        <v>0.3333333333333333</v>
      </c>
      <c r="W18" s="61">
        <v>0.3333333333333333</v>
      </c>
      <c r="X18" s="61">
        <v>1.0</v>
      </c>
      <c r="Y18" s="61">
        <v>0.3333333333333333</v>
      </c>
      <c r="Z18" s="61">
        <v>0.6666666666666666</v>
      </c>
      <c r="AA18" s="61">
        <v>1.0</v>
      </c>
      <c r="AB18" s="61">
        <v>1.0</v>
      </c>
      <c r="AC18" s="61">
        <v>1.0</v>
      </c>
      <c r="AD18" s="61">
        <v>0.6666666666666666</v>
      </c>
      <c r="AE18" s="61">
        <v>0.6666666666666666</v>
      </c>
      <c r="AF18" s="61">
        <v>1.0</v>
      </c>
      <c r="AG18" s="61">
        <v>0.3333333333333333</v>
      </c>
      <c r="AJ18" s="38">
        <v>7.0</v>
      </c>
      <c r="AK18" s="40">
        <f t="shared" si="5"/>
        <v>0.7777777778</v>
      </c>
      <c r="AL18" s="38" t="s">
        <v>81</v>
      </c>
    </row>
    <row r="19">
      <c r="A19" s="38">
        <v>831.0</v>
      </c>
      <c r="B19" s="38" t="s">
        <v>25</v>
      </c>
      <c r="C19" s="38" t="s">
        <v>41</v>
      </c>
      <c r="D19" s="38" t="s">
        <v>43</v>
      </c>
      <c r="E19" s="40">
        <v>0.0</v>
      </c>
      <c r="F19" s="40">
        <v>0.0</v>
      </c>
      <c r="G19" s="40">
        <v>0.3333333333333333</v>
      </c>
      <c r="H19" s="40">
        <v>0.0</v>
      </c>
      <c r="I19" s="40">
        <v>0.0</v>
      </c>
      <c r="J19" s="40">
        <v>0.3333333333333333</v>
      </c>
      <c r="K19" s="40">
        <v>0.0</v>
      </c>
      <c r="L19" s="40">
        <v>0.0</v>
      </c>
      <c r="M19" s="40">
        <v>0.3333333333333333</v>
      </c>
      <c r="N19" s="40">
        <v>0.0</v>
      </c>
      <c r="O19" s="40">
        <v>0.0</v>
      </c>
      <c r="P19" s="40">
        <v>0.0</v>
      </c>
      <c r="R19" s="38"/>
      <c r="S19" s="62"/>
      <c r="T19" s="62"/>
      <c r="U19" s="55" t="s">
        <v>43</v>
      </c>
      <c r="V19" s="61">
        <v>0.0</v>
      </c>
      <c r="W19" s="61">
        <v>0.0</v>
      </c>
      <c r="X19" s="61">
        <v>0.0</v>
      </c>
      <c r="Y19" s="61">
        <v>0.0</v>
      </c>
      <c r="Z19" s="61">
        <v>0.0</v>
      </c>
      <c r="AA19" s="61">
        <v>0.0</v>
      </c>
      <c r="AB19" s="61">
        <v>0.0</v>
      </c>
      <c r="AC19" s="61">
        <v>0.0</v>
      </c>
      <c r="AD19" s="61">
        <v>0.3333333333333333</v>
      </c>
      <c r="AE19" s="61">
        <v>0.3333333333333333</v>
      </c>
      <c r="AF19" s="61">
        <v>0.3333333333333333</v>
      </c>
      <c r="AG19" s="61">
        <v>0.0</v>
      </c>
      <c r="AJ19" s="38">
        <v>8.0</v>
      </c>
      <c r="AK19" s="40">
        <f t="shared" si="5"/>
        <v>0.8888888889</v>
      </c>
      <c r="AL19" s="38" t="s">
        <v>82</v>
      </c>
    </row>
    <row r="20">
      <c r="A20" s="38">
        <v>854.0</v>
      </c>
      <c r="B20" s="38" t="s">
        <v>25</v>
      </c>
      <c r="C20" s="38" t="s">
        <v>41</v>
      </c>
      <c r="D20" s="38" t="s">
        <v>44</v>
      </c>
      <c r="E20" s="40">
        <v>0.3333333333333333</v>
      </c>
      <c r="F20" s="40">
        <v>0.3333333333333333</v>
      </c>
      <c r="G20" s="40">
        <v>0.6666666666666666</v>
      </c>
      <c r="H20" s="40">
        <v>0.3333333333333333</v>
      </c>
      <c r="I20" s="40">
        <v>0.3333333333333333</v>
      </c>
      <c r="J20" s="40">
        <v>1.0</v>
      </c>
      <c r="K20" s="40">
        <v>0.3333333333333333</v>
      </c>
      <c r="L20" s="40">
        <v>0.3333333333333333</v>
      </c>
      <c r="M20" s="40">
        <v>0.3333333333333333</v>
      </c>
      <c r="N20" s="40">
        <v>0.3333333333333333</v>
      </c>
      <c r="O20" s="40">
        <v>0.3333333333333333</v>
      </c>
      <c r="P20" s="40">
        <v>0.6666666666666666</v>
      </c>
      <c r="R20" s="38"/>
      <c r="S20" s="62"/>
      <c r="T20" s="62"/>
      <c r="U20" s="55" t="s">
        <v>44</v>
      </c>
      <c r="V20" s="61">
        <v>0.3333333333333333</v>
      </c>
      <c r="W20" s="61">
        <v>0.3333333333333333</v>
      </c>
      <c r="X20" s="61">
        <v>0.3333333333333333</v>
      </c>
      <c r="Y20" s="61">
        <v>0.3333333333333333</v>
      </c>
      <c r="Z20" s="61">
        <v>0.3333333333333333</v>
      </c>
      <c r="AA20" s="61">
        <v>0.3333333333333333</v>
      </c>
      <c r="AB20" s="61">
        <v>0.3333333333333333</v>
      </c>
      <c r="AC20" s="61">
        <v>0.3333333333333333</v>
      </c>
      <c r="AD20" s="61">
        <v>0.6666666666666666</v>
      </c>
      <c r="AE20" s="61">
        <v>1.0</v>
      </c>
      <c r="AF20" s="61">
        <v>0.3333333333333333</v>
      </c>
      <c r="AG20" s="61">
        <v>0.6666666666666666</v>
      </c>
      <c r="AI20" s="38">
        <v>3.0</v>
      </c>
      <c r="AJ20" s="38">
        <v>9.0</v>
      </c>
      <c r="AK20" s="40">
        <f t="shared" si="5"/>
        <v>1</v>
      </c>
      <c r="AL20" s="38" t="s">
        <v>83</v>
      </c>
    </row>
    <row r="21">
      <c r="A21" s="38">
        <v>861.0</v>
      </c>
      <c r="B21" s="38" t="s">
        <v>25</v>
      </c>
      <c r="C21" s="38" t="s">
        <v>41</v>
      </c>
      <c r="D21" s="38" t="s">
        <v>45</v>
      </c>
      <c r="E21" s="40">
        <v>0.3333333333333333</v>
      </c>
      <c r="F21" s="40">
        <v>0.6666666666666666</v>
      </c>
      <c r="G21" s="40">
        <v>0.3333333333333333</v>
      </c>
      <c r="H21" s="40">
        <v>0.3333333333333333</v>
      </c>
      <c r="I21" s="40">
        <v>0.6666666666666666</v>
      </c>
      <c r="J21" s="40">
        <v>0.0</v>
      </c>
      <c r="K21" s="40">
        <v>0.3333333333333333</v>
      </c>
      <c r="L21" s="40">
        <v>1.0</v>
      </c>
      <c r="M21" s="40">
        <v>0.6666666666666666</v>
      </c>
      <c r="N21" s="40">
        <v>0.0</v>
      </c>
      <c r="O21" s="40">
        <v>1.0</v>
      </c>
      <c r="P21" s="40">
        <v>0.3333333333333333</v>
      </c>
      <c r="R21" s="38"/>
      <c r="S21" s="63"/>
      <c r="T21" s="63"/>
      <c r="U21" s="55" t="s">
        <v>45</v>
      </c>
      <c r="V21" s="61">
        <v>0.3333333333333333</v>
      </c>
      <c r="W21" s="61">
        <v>0.3333333333333333</v>
      </c>
      <c r="X21" s="61">
        <v>0.3333333333333333</v>
      </c>
      <c r="Y21" s="61">
        <v>0.0</v>
      </c>
      <c r="Z21" s="61">
        <v>0.6666666666666666</v>
      </c>
      <c r="AA21" s="61">
        <v>0.6666666666666666</v>
      </c>
      <c r="AB21" s="61">
        <v>1.0</v>
      </c>
      <c r="AC21" s="61">
        <v>1.0</v>
      </c>
      <c r="AD21" s="61">
        <v>0.3333333333333333</v>
      </c>
      <c r="AE21" s="61">
        <v>0.0</v>
      </c>
      <c r="AF21" s="61">
        <v>0.6666666666666666</v>
      </c>
      <c r="AG21" s="61">
        <v>0.3333333333333333</v>
      </c>
    </row>
    <row r="22">
      <c r="A22" s="38">
        <v>301.0</v>
      </c>
      <c r="B22" s="38" t="s">
        <v>46</v>
      </c>
      <c r="C22" s="38" t="s">
        <v>26</v>
      </c>
      <c r="D22" s="38" t="s">
        <v>27</v>
      </c>
      <c r="E22" s="40">
        <v>0.3333333333333333</v>
      </c>
      <c r="F22" s="40">
        <v>0.6666666666666666</v>
      </c>
      <c r="G22" s="40">
        <v>0.6666666666666666</v>
      </c>
      <c r="H22" s="40">
        <v>0.3333333333333333</v>
      </c>
      <c r="I22" s="40">
        <v>0.6666666666666666</v>
      </c>
      <c r="J22" s="40">
        <v>0.3333333333333333</v>
      </c>
      <c r="K22" s="40">
        <v>0.3333333333333333</v>
      </c>
      <c r="L22" s="40">
        <v>0.6666666666666666</v>
      </c>
      <c r="M22" s="40">
        <v>0.6666666666666666</v>
      </c>
      <c r="N22" s="40">
        <v>0.3333333333333333</v>
      </c>
      <c r="O22" s="40">
        <v>0.6666666666666666</v>
      </c>
      <c r="P22" s="40">
        <v>0.6666666666666666</v>
      </c>
      <c r="R22" s="38"/>
      <c r="S22" s="58" t="s">
        <v>46</v>
      </c>
      <c r="T22" s="59" t="s">
        <v>26</v>
      </c>
      <c r="U22" s="60" t="s">
        <v>27</v>
      </c>
      <c r="V22" s="61">
        <v>0.2222222222222222</v>
      </c>
      <c r="W22" s="61">
        <v>0.2222222222222222</v>
      </c>
      <c r="X22" s="61">
        <v>0.3333333333333333</v>
      </c>
      <c r="Y22" s="61">
        <v>0.2222222222222222</v>
      </c>
      <c r="Z22" s="61">
        <v>0.5555555555555555</v>
      </c>
      <c r="AA22" s="61">
        <v>0.5555555555555555</v>
      </c>
      <c r="AB22" s="61">
        <v>0.5555555555555555</v>
      </c>
      <c r="AC22" s="61">
        <v>0.6666666666666666</v>
      </c>
      <c r="AD22" s="61">
        <v>0.5555555555555555</v>
      </c>
      <c r="AE22" s="61">
        <v>0.3333333333333333</v>
      </c>
      <c r="AF22" s="61">
        <v>0.6666666666666666</v>
      </c>
      <c r="AG22" s="61">
        <v>0.6666666666666666</v>
      </c>
    </row>
    <row r="23">
      <c r="A23" s="38">
        <v>302.0</v>
      </c>
      <c r="B23" s="38" t="s">
        <v>46</v>
      </c>
      <c r="C23" s="38" t="s">
        <v>26</v>
      </c>
      <c r="D23" s="38" t="s">
        <v>27</v>
      </c>
      <c r="E23" s="40">
        <v>0.3333333333333333</v>
      </c>
      <c r="F23" s="40">
        <v>1.0</v>
      </c>
      <c r="G23" s="40">
        <v>0.6666666666666666</v>
      </c>
      <c r="H23" s="40">
        <v>0.3333333333333333</v>
      </c>
      <c r="I23" s="40">
        <v>1.0</v>
      </c>
      <c r="J23" s="40">
        <v>0.3333333333333333</v>
      </c>
      <c r="K23" s="40">
        <v>0.6666666666666666</v>
      </c>
      <c r="L23" s="40">
        <v>0.6666666666666666</v>
      </c>
      <c r="M23" s="40">
        <v>0.6666666666666666</v>
      </c>
      <c r="N23" s="40">
        <v>0.0</v>
      </c>
      <c r="O23" s="40">
        <v>1.0</v>
      </c>
      <c r="P23" s="40">
        <v>0.6666666666666666</v>
      </c>
      <c r="R23" s="38"/>
      <c r="S23" s="62"/>
      <c r="T23" s="62"/>
      <c r="U23" s="55" t="s">
        <v>32</v>
      </c>
      <c r="V23" s="61">
        <v>0.4444444444444444</v>
      </c>
      <c r="W23" s="61">
        <v>0.4444444444444444</v>
      </c>
      <c r="X23" s="61">
        <v>0.1111111111111111</v>
      </c>
      <c r="Y23" s="61">
        <v>0.2222222222222222</v>
      </c>
      <c r="Z23" s="61">
        <v>0.6666666666666666</v>
      </c>
      <c r="AA23" s="61">
        <v>0.5555555555555555</v>
      </c>
      <c r="AB23" s="61">
        <v>0.7777777777777777</v>
      </c>
      <c r="AC23" s="61">
        <v>0.5555555555555555</v>
      </c>
      <c r="AD23" s="61">
        <v>0.7777777777777777</v>
      </c>
      <c r="AE23" s="61">
        <v>0.7777777777777777</v>
      </c>
      <c r="AF23" s="61">
        <v>0.8888888888888888</v>
      </c>
      <c r="AG23" s="61">
        <v>0.6666666666666666</v>
      </c>
    </row>
    <row r="24">
      <c r="A24" s="38">
        <v>303.0</v>
      </c>
      <c r="B24" s="38" t="s">
        <v>46</v>
      </c>
      <c r="C24" s="38" t="s">
        <v>26</v>
      </c>
      <c r="D24" s="38" t="s">
        <v>27</v>
      </c>
      <c r="E24" s="40">
        <v>0.0</v>
      </c>
      <c r="F24" s="40">
        <v>0.0</v>
      </c>
      <c r="G24" s="40">
        <v>0.3333333333333333</v>
      </c>
      <c r="H24" s="40">
        <v>0.0</v>
      </c>
      <c r="I24" s="40">
        <v>0.0</v>
      </c>
      <c r="J24" s="40">
        <v>0.3333333333333333</v>
      </c>
      <c r="K24" s="40">
        <v>0.0</v>
      </c>
      <c r="L24" s="40">
        <v>0.3333333333333333</v>
      </c>
      <c r="M24" s="40">
        <v>0.6666666666666666</v>
      </c>
      <c r="N24" s="40">
        <v>0.3333333333333333</v>
      </c>
      <c r="O24" s="40">
        <v>0.3333333333333333</v>
      </c>
      <c r="P24" s="40">
        <v>0.6666666666666666</v>
      </c>
      <c r="R24" s="38"/>
      <c r="S24" s="62"/>
      <c r="T24" s="62"/>
      <c r="U24" s="55" t="s">
        <v>34</v>
      </c>
      <c r="V24" s="61">
        <v>0.1111111111111111</v>
      </c>
      <c r="W24" s="61">
        <v>0.2222222222222222</v>
      </c>
      <c r="X24" s="61">
        <v>0.2222222222222222</v>
      </c>
      <c r="Y24" s="61">
        <v>0.2222222222222222</v>
      </c>
      <c r="Z24" s="61">
        <v>0.5555555555555555</v>
      </c>
      <c r="AA24" s="61">
        <v>0.5555555555555555</v>
      </c>
      <c r="AB24" s="61">
        <v>0.7777777777777777</v>
      </c>
      <c r="AC24" s="61">
        <v>0.6666666666666666</v>
      </c>
      <c r="AD24" s="61">
        <v>0.5555555555555555</v>
      </c>
      <c r="AE24" s="61">
        <v>0.6666666666666666</v>
      </c>
      <c r="AF24" s="61">
        <v>0.6666666666666666</v>
      </c>
      <c r="AG24" s="61">
        <v>0.7777777777777777</v>
      </c>
    </row>
    <row r="25">
      <c r="A25" s="38">
        <v>321.0</v>
      </c>
      <c r="B25" s="38" t="s">
        <v>46</v>
      </c>
      <c r="C25" s="38" t="s">
        <v>26</v>
      </c>
      <c r="D25" s="38" t="s">
        <v>32</v>
      </c>
      <c r="E25" s="40">
        <v>0.6666666666666666</v>
      </c>
      <c r="F25" s="40">
        <v>0.6666666666666666</v>
      </c>
      <c r="G25" s="40">
        <v>0.6666666666666666</v>
      </c>
      <c r="H25" s="40">
        <v>0.6666666666666666</v>
      </c>
      <c r="I25" s="40">
        <v>0.6666666666666666</v>
      </c>
      <c r="J25" s="40">
        <v>0.6666666666666666</v>
      </c>
      <c r="K25" s="40">
        <v>0.0</v>
      </c>
      <c r="L25" s="40">
        <v>0.6666666666666666</v>
      </c>
      <c r="M25" s="40">
        <v>0.6666666666666666</v>
      </c>
      <c r="N25" s="40">
        <v>0.3333333333333333</v>
      </c>
      <c r="O25" s="40">
        <v>0.3333333333333333</v>
      </c>
      <c r="P25" s="40">
        <v>0.6666666666666666</v>
      </c>
      <c r="R25" s="38"/>
      <c r="S25" s="62"/>
      <c r="T25" s="63"/>
      <c r="U25" s="55" t="s">
        <v>35</v>
      </c>
      <c r="V25" s="61">
        <v>0.2222222222222222</v>
      </c>
      <c r="W25" s="61">
        <v>0.2222222222222222</v>
      </c>
      <c r="X25" s="61">
        <v>0.4444444444444444</v>
      </c>
      <c r="Y25" s="61">
        <v>0.2222222222222222</v>
      </c>
      <c r="Z25" s="61">
        <v>0.4444444444444444</v>
      </c>
      <c r="AA25" s="61">
        <v>0.3333333333333333</v>
      </c>
      <c r="AB25" s="61">
        <v>0.5555555555555555</v>
      </c>
      <c r="AC25" s="61">
        <v>0.3333333333333333</v>
      </c>
      <c r="AD25" s="61">
        <v>0.5555555555555555</v>
      </c>
      <c r="AE25" s="61">
        <v>0.3333333333333333</v>
      </c>
      <c r="AF25" s="61">
        <v>0.4444444444444444</v>
      </c>
      <c r="AG25" s="61">
        <v>0.4444444444444444</v>
      </c>
      <c r="AI25" s="38" t="s">
        <v>84</v>
      </c>
    </row>
    <row r="26">
      <c r="A26" s="38">
        <v>322.0</v>
      </c>
      <c r="B26" s="38" t="s">
        <v>46</v>
      </c>
      <c r="C26" s="38" t="s">
        <v>26</v>
      </c>
      <c r="D26" s="38" t="s">
        <v>32</v>
      </c>
      <c r="E26" s="40">
        <v>0.3333333333333333</v>
      </c>
      <c r="F26" s="40">
        <v>1.0</v>
      </c>
      <c r="G26" s="40">
        <v>0.6666666666666666</v>
      </c>
      <c r="H26" s="40">
        <v>0.3333333333333333</v>
      </c>
      <c r="I26" s="40">
        <v>0.6666666666666666</v>
      </c>
      <c r="J26" s="40">
        <v>0.6666666666666666</v>
      </c>
      <c r="K26" s="40">
        <v>0.3333333333333333</v>
      </c>
      <c r="L26" s="40">
        <v>1.0</v>
      </c>
      <c r="M26" s="40">
        <v>1.0</v>
      </c>
      <c r="N26" s="40">
        <v>0.3333333333333333</v>
      </c>
      <c r="O26" s="40">
        <v>0.6666666666666666</v>
      </c>
      <c r="P26" s="40">
        <v>0.6666666666666666</v>
      </c>
      <c r="R26" s="38"/>
      <c r="S26" s="62"/>
      <c r="T26" s="58" t="s">
        <v>36</v>
      </c>
      <c r="U26" s="55" t="s">
        <v>37</v>
      </c>
      <c r="V26" s="61">
        <v>0.0</v>
      </c>
      <c r="W26" s="61">
        <v>0.0</v>
      </c>
      <c r="X26" s="61">
        <v>0.1111111111111111</v>
      </c>
      <c r="Y26" s="61">
        <v>0.0</v>
      </c>
      <c r="Z26" s="61">
        <v>0.6666666666666666</v>
      </c>
      <c r="AA26" s="61">
        <v>0.5555555555555555</v>
      </c>
      <c r="AB26" s="61">
        <v>0.6666666666666666</v>
      </c>
      <c r="AC26" s="61">
        <v>0.4444444444444444</v>
      </c>
      <c r="AD26" s="61">
        <v>0.6666666666666666</v>
      </c>
      <c r="AE26" s="61">
        <v>0.6666666666666666</v>
      </c>
      <c r="AF26" s="61">
        <v>0.6666666666666666</v>
      </c>
      <c r="AG26" s="61">
        <v>0.7777777777777777</v>
      </c>
      <c r="AI26" s="38" t="s">
        <v>85</v>
      </c>
    </row>
    <row r="27">
      <c r="A27" s="38">
        <v>323.0</v>
      </c>
      <c r="B27" s="38" t="s">
        <v>46</v>
      </c>
      <c r="C27" s="38" t="s">
        <v>26</v>
      </c>
      <c r="D27" s="38" t="s">
        <v>32</v>
      </c>
      <c r="E27" s="40">
        <v>0.3333333333333333</v>
      </c>
      <c r="F27" s="40">
        <v>0.3333333333333333</v>
      </c>
      <c r="G27" s="40">
        <v>1.0</v>
      </c>
      <c r="H27" s="40">
        <v>0.3333333333333333</v>
      </c>
      <c r="I27" s="40">
        <v>0.3333333333333333</v>
      </c>
      <c r="J27" s="40">
        <v>1.0</v>
      </c>
      <c r="K27" s="40">
        <v>0.0</v>
      </c>
      <c r="L27" s="40">
        <v>0.6666666666666666</v>
      </c>
      <c r="M27" s="40">
        <v>1.0</v>
      </c>
      <c r="N27" s="40">
        <v>0.0</v>
      </c>
      <c r="O27" s="40">
        <v>0.6666666666666666</v>
      </c>
      <c r="P27" s="40">
        <v>0.6666666666666666</v>
      </c>
      <c r="R27" s="38"/>
      <c r="S27" s="62"/>
      <c r="T27" s="62"/>
      <c r="U27" s="55" t="s">
        <v>38</v>
      </c>
      <c r="V27" s="61">
        <v>0.4444444444444444</v>
      </c>
      <c r="W27" s="61">
        <v>0.4444444444444444</v>
      </c>
      <c r="X27" s="61">
        <v>0.3333333333333333</v>
      </c>
      <c r="Y27" s="61">
        <v>0.3333333333333333</v>
      </c>
      <c r="Z27" s="61">
        <v>0.6666666666666666</v>
      </c>
      <c r="AA27" s="61">
        <v>0.6666666666666666</v>
      </c>
      <c r="AB27" s="61">
        <v>0.5555555555555555</v>
      </c>
      <c r="AC27" s="61">
        <v>0.7777777777777777</v>
      </c>
      <c r="AD27" s="61">
        <v>0.6666666666666666</v>
      </c>
      <c r="AE27" s="61">
        <v>0.6666666666666666</v>
      </c>
      <c r="AF27" s="61">
        <v>0.7777777777777777</v>
      </c>
      <c r="AG27" s="61">
        <v>0.7777777777777777</v>
      </c>
      <c r="AI27" s="38" t="s">
        <v>86</v>
      </c>
    </row>
    <row r="28">
      <c r="A28" s="38">
        <v>341.0</v>
      </c>
      <c r="B28" s="38" t="s">
        <v>46</v>
      </c>
      <c r="C28" s="38" t="s">
        <v>26</v>
      </c>
      <c r="D28" s="38" t="s">
        <v>34</v>
      </c>
      <c r="E28" s="40">
        <v>0.3333333333333333</v>
      </c>
      <c r="F28" s="40">
        <v>0.3333333333333333</v>
      </c>
      <c r="G28" s="40">
        <v>0.6666666666666666</v>
      </c>
      <c r="H28" s="40">
        <v>0.3333333333333333</v>
      </c>
      <c r="I28" s="40">
        <v>0.3333333333333333</v>
      </c>
      <c r="J28" s="40">
        <v>0.6666666666666666</v>
      </c>
      <c r="K28" s="40">
        <v>0.3333333333333333</v>
      </c>
      <c r="L28" s="40">
        <v>1.0</v>
      </c>
      <c r="M28" s="40">
        <v>1.0</v>
      </c>
      <c r="N28" s="40">
        <v>0.6666666666666666</v>
      </c>
      <c r="O28" s="40">
        <v>0.6666666666666666</v>
      </c>
      <c r="P28" s="40">
        <v>1.0</v>
      </c>
      <c r="R28" s="38"/>
      <c r="S28" s="62"/>
      <c r="T28" s="62"/>
      <c r="U28" s="55" t="s">
        <v>39</v>
      </c>
      <c r="V28" s="61">
        <v>0.4444444444444444</v>
      </c>
      <c r="W28" s="61">
        <v>0.4444444444444444</v>
      </c>
      <c r="X28" s="61">
        <v>0.6666666666666666</v>
      </c>
      <c r="Y28" s="61">
        <v>0.6666666666666666</v>
      </c>
      <c r="Z28" s="61">
        <v>0.8888888888888888</v>
      </c>
      <c r="AA28" s="61">
        <v>0.8888888888888888</v>
      </c>
      <c r="AB28" s="61">
        <v>0.8888888888888888</v>
      </c>
      <c r="AC28" s="61">
        <v>0.8888888888888888</v>
      </c>
      <c r="AD28" s="61">
        <v>0.6666666666666666</v>
      </c>
      <c r="AE28" s="61">
        <v>0.7777777777777777</v>
      </c>
      <c r="AF28" s="61">
        <v>0.7777777777777777</v>
      </c>
      <c r="AG28" s="61">
        <v>0.6666666666666666</v>
      </c>
    </row>
    <row r="29">
      <c r="A29" s="38">
        <v>343.0</v>
      </c>
      <c r="B29" s="38" t="s">
        <v>46</v>
      </c>
      <c r="C29" s="38" t="s">
        <v>26</v>
      </c>
      <c r="D29" s="38" t="s">
        <v>34</v>
      </c>
      <c r="E29" s="40">
        <v>0.0</v>
      </c>
      <c r="F29" s="40">
        <v>0.6666666666666666</v>
      </c>
      <c r="G29" s="40">
        <v>0.0</v>
      </c>
      <c r="H29" s="40">
        <v>0.0</v>
      </c>
      <c r="I29" s="40">
        <v>0.6666666666666666</v>
      </c>
      <c r="J29" s="40">
        <v>0.6666666666666666</v>
      </c>
      <c r="K29" s="40">
        <v>0.0</v>
      </c>
      <c r="L29" s="40">
        <v>0.6666666666666666</v>
      </c>
      <c r="M29" s="40">
        <v>0.3333333333333333</v>
      </c>
      <c r="N29" s="40">
        <v>0.0</v>
      </c>
      <c r="O29" s="40">
        <v>0.6666666666666666</v>
      </c>
      <c r="P29" s="40">
        <v>0.3333333333333333</v>
      </c>
      <c r="R29" s="38"/>
      <c r="S29" s="62"/>
      <c r="T29" s="63"/>
      <c r="U29" s="55" t="s">
        <v>40</v>
      </c>
      <c r="V29" s="61">
        <v>0.2222222222222222</v>
      </c>
      <c r="W29" s="61">
        <v>0.2222222222222222</v>
      </c>
      <c r="X29" s="61">
        <v>0.4444444444444444</v>
      </c>
      <c r="Y29" s="61">
        <v>0.3333333333333333</v>
      </c>
      <c r="Z29" s="61">
        <v>0.5555555555555555</v>
      </c>
      <c r="AA29" s="61">
        <v>0.5555555555555555</v>
      </c>
      <c r="AB29" s="61">
        <v>0.6666666666666666</v>
      </c>
      <c r="AC29" s="61">
        <v>0.4444444444444444</v>
      </c>
      <c r="AD29" s="61">
        <v>0.7777777777777777</v>
      </c>
      <c r="AE29" s="61">
        <v>0.7777777777777777</v>
      </c>
      <c r="AF29" s="61">
        <v>0.7777777777777777</v>
      </c>
      <c r="AG29" s="61">
        <v>0.7777777777777777</v>
      </c>
    </row>
    <row r="30">
      <c r="A30" s="38">
        <v>344.0</v>
      </c>
      <c r="B30" s="38" t="s">
        <v>46</v>
      </c>
      <c r="C30" s="38" t="s">
        <v>26</v>
      </c>
      <c r="D30" s="38" t="s">
        <v>34</v>
      </c>
      <c r="E30" s="40">
        <v>0.0</v>
      </c>
      <c r="F30" s="40">
        <v>0.6666666666666666</v>
      </c>
      <c r="G30" s="40">
        <v>1.0</v>
      </c>
      <c r="H30" s="40">
        <v>0.3333333333333333</v>
      </c>
      <c r="I30" s="40">
        <v>0.6666666666666666</v>
      </c>
      <c r="J30" s="40">
        <v>0.6666666666666666</v>
      </c>
      <c r="K30" s="40">
        <v>0.3333333333333333</v>
      </c>
      <c r="L30" s="40">
        <v>0.6666666666666666</v>
      </c>
      <c r="M30" s="40">
        <v>0.6666666666666666</v>
      </c>
      <c r="N30" s="40">
        <v>0.0</v>
      </c>
      <c r="O30" s="40">
        <v>0.6666666666666666</v>
      </c>
      <c r="P30" s="40">
        <v>1.0</v>
      </c>
      <c r="R30" s="38"/>
      <c r="S30" s="62"/>
      <c r="T30" s="58" t="s">
        <v>41</v>
      </c>
      <c r="U30" s="55" t="s">
        <v>42</v>
      </c>
      <c r="V30" s="61">
        <v>0.3333333333333333</v>
      </c>
      <c r="W30" s="61">
        <v>0.3333333333333333</v>
      </c>
      <c r="X30" s="61">
        <v>0.4444444444444444</v>
      </c>
      <c r="Y30" s="61">
        <v>0.2222222222222222</v>
      </c>
      <c r="Z30" s="61">
        <v>0.7777777777777777</v>
      </c>
      <c r="AA30" s="61">
        <v>0.7777777777777777</v>
      </c>
      <c r="AB30" s="61">
        <v>0.4444444444444444</v>
      </c>
      <c r="AC30" s="61">
        <v>0.6666666666666666</v>
      </c>
      <c r="AD30" s="61">
        <v>0.5555555555555555</v>
      </c>
      <c r="AE30" s="61">
        <v>0.6666666666666666</v>
      </c>
      <c r="AF30" s="61">
        <v>0.5555555555555555</v>
      </c>
      <c r="AG30" s="61">
        <v>0.7777777777777777</v>
      </c>
    </row>
    <row r="31">
      <c r="A31" s="38">
        <v>381.0</v>
      </c>
      <c r="B31" s="38" t="s">
        <v>46</v>
      </c>
      <c r="C31" s="38" t="s">
        <v>26</v>
      </c>
      <c r="D31" s="38" t="s">
        <v>35</v>
      </c>
      <c r="E31" s="40">
        <v>0.3333333333333333</v>
      </c>
      <c r="F31" s="40">
        <v>0.6666666666666666</v>
      </c>
      <c r="G31" s="40">
        <v>1.0</v>
      </c>
      <c r="H31" s="40">
        <v>0.3333333333333333</v>
      </c>
      <c r="I31" s="40">
        <v>0.3333333333333333</v>
      </c>
      <c r="J31" s="40">
        <v>0.6666666666666666</v>
      </c>
      <c r="K31" s="40">
        <v>0.3333333333333333</v>
      </c>
      <c r="L31" s="40">
        <v>0.6666666666666666</v>
      </c>
      <c r="M31" s="40">
        <v>0.6666666666666666</v>
      </c>
      <c r="N31" s="40">
        <v>0.3333333333333333</v>
      </c>
      <c r="O31" s="40">
        <v>0.3333333333333333</v>
      </c>
      <c r="P31" s="40">
        <v>0.3333333333333333</v>
      </c>
      <c r="R31" s="38"/>
      <c r="S31" s="62"/>
      <c r="T31" s="62"/>
      <c r="U31" s="55" t="s">
        <v>43</v>
      </c>
      <c r="V31" s="61">
        <v>0.3333333333333333</v>
      </c>
      <c r="W31" s="61">
        <v>0.3333333333333333</v>
      </c>
      <c r="X31" s="61">
        <v>0.3333333333333333</v>
      </c>
      <c r="Y31" s="61">
        <v>0.2222222222222222</v>
      </c>
      <c r="Z31" s="61">
        <v>0.4444444444444444</v>
      </c>
      <c r="AA31" s="61">
        <v>0.4444444444444444</v>
      </c>
      <c r="AB31" s="61">
        <v>0.6666666666666666</v>
      </c>
      <c r="AC31" s="61">
        <v>0.4444444444444444</v>
      </c>
      <c r="AD31" s="61">
        <v>0.6666666666666666</v>
      </c>
      <c r="AE31" s="61">
        <v>0.6666666666666666</v>
      </c>
      <c r="AF31" s="61">
        <v>0.5555555555555555</v>
      </c>
      <c r="AG31" s="61">
        <v>0.1111111111111111</v>
      </c>
    </row>
    <row r="32">
      <c r="A32" s="38">
        <v>382.0</v>
      </c>
      <c r="B32" s="38" t="s">
        <v>46</v>
      </c>
      <c r="C32" s="38" t="s">
        <v>26</v>
      </c>
      <c r="D32" s="38" t="s">
        <v>35</v>
      </c>
      <c r="E32" s="40">
        <v>0.0</v>
      </c>
      <c r="F32" s="40">
        <v>0.3333333333333333</v>
      </c>
      <c r="G32" s="40">
        <v>0.3333333333333333</v>
      </c>
      <c r="H32" s="40">
        <v>0.0</v>
      </c>
      <c r="I32" s="40">
        <v>0.3333333333333333</v>
      </c>
      <c r="J32" s="40">
        <v>0.0</v>
      </c>
      <c r="K32" s="40">
        <v>0.3333333333333333</v>
      </c>
      <c r="L32" s="40">
        <v>0.3333333333333333</v>
      </c>
      <c r="M32" s="40">
        <v>0.0</v>
      </c>
      <c r="N32" s="40">
        <v>0.0</v>
      </c>
      <c r="O32" s="40">
        <v>0.3333333333333333</v>
      </c>
      <c r="P32" s="40">
        <v>0.3333333333333333</v>
      </c>
      <c r="R32" s="38"/>
      <c r="S32" s="62"/>
      <c r="T32" s="62"/>
      <c r="U32" s="55" t="s">
        <v>44</v>
      </c>
      <c r="V32" s="61">
        <v>0.0</v>
      </c>
      <c r="W32" s="61">
        <v>0.0</v>
      </c>
      <c r="X32" s="61">
        <v>0.1111111111111111</v>
      </c>
      <c r="Y32" s="61">
        <v>0.2222222222222222</v>
      </c>
      <c r="Z32" s="61">
        <v>0.2222222222222222</v>
      </c>
      <c r="AA32" s="61">
        <v>0.1111111111111111</v>
      </c>
      <c r="AB32" s="61">
        <v>0.2222222222222222</v>
      </c>
      <c r="AC32" s="61">
        <v>0.3333333333333333</v>
      </c>
      <c r="AD32" s="61">
        <v>0.6666666666666666</v>
      </c>
      <c r="AE32" s="61">
        <v>0.2222222222222222</v>
      </c>
      <c r="AF32" s="61">
        <v>0.3333333333333333</v>
      </c>
      <c r="AG32" s="61">
        <v>0.3333333333333333</v>
      </c>
      <c r="AI32" s="38" t="s">
        <v>87</v>
      </c>
    </row>
    <row r="33">
      <c r="A33" s="38">
        <v>383.0</v>
      </c>
      <c r="B33" s="38" t="s">
        <v>46</v>
      </c>
      <c r="C33" s="38" t="s">
        <v>26</v>
      </c>
      <c r="D33" s="38" t="s">
        <v>35</v>
      </c>
      <c r="E33" s="40">
        <v>0.3333333333333333</v>
      </c>
      <c r="F33" s="40">
        <v>0.3333333333333333</v>
      </c>
      <c r="G33" s="40">
        <v>0.3333333333333333</v>
      </c>
      <c r="H33" s="40">
        <v>0.3333333333333333</v>
      </c>
      <c r="I33" s="40">
        <v>0.3333333333333333</v>
      </c>
      <c r="J33" s="40">
        <v>0.3333333333333333</v>
      </c>
      <c r="K33" s="40">
        <v>0.6666666666666666</v>
      </c>
      <c r="L33" s="40">
        <v>0.6666666666666666</v>
      </c>
      <c r="M33" s="40">
        <v>0.6666666666666666</v>
      </c>
      <c r="N33" s="40">
        <v>0.3333333333333333</v>
      </c>
      <c r="O33" s="40">
        <v>0.3333333333333333</v>
      </c>
      <c r="P33" s="40">
        <v>0.6666666666666666</v>
      </c>
      <c r="R33" s="38"/>
      <c r="S33" s="63"/>
      <c r="T33" s="63"/>
      <c r="U33" s="55" t="s">
        <v>45</v>
      </c>
      <c r="V33" s="61">
        <v>0.1111111111111111</v>
      </c>
      <c r="W33" s="61">
        <v>0.1111111111111111</v>
      </c>
      <c r="X33" s="61">
        <v>0.3333333333333333</v>
      </c>
      <c r="Y33" s="61">
        <v>0.2222222222222222</v>
      </c>
      <c r="Z33" s="61">
        <v>0.6666666666666666</v>
      </c>
      <c r="AA33" s="61">
        <v>0.5555555555555555</v>
      </c>
      <c r="AB33" s="61">
        <v>0.5555555555555555</v>
      </c>
      <c r="AC33" s="61">
        <v>0.4444444444444444</v>
      </c>
      <c r="AD33" s="61">
        <v>0.4444444444444444</v>
      </c>
      <c r="AE33" s="61">
        <v>0.3333333333333333</v>
      </c>
      <c r="AF33" s="61">
        <v>0.4444444444444444</v>
      </c>
      <c r="AG33" s="61">
        <v>0.5555555555555555</v>
      </c>
      <c r="AI33" s="38" t="s">
        <v>88</v>
      </c>
    </row>
    <row r="34">
      <c r="A34" s="38">
        <v>391.0</v>
      </c>
      <c r="B34" s="38" t="s">
        <v>46</v>
      </c>
      <c r="C34" s="38" t="s">
        <v>36</v>
      </c>
      <c r="D34" s="38" t="s">
        <v>37</v>
      </c>
      <c r="E34" s="40">
        <v>0.0</v>
      </c>
      <c r="F34" s="40">
        <v>1.0</v>
      </c>
      <c r="G34" s="40">
        <v>1.0</v>
      </c>
      <c r="H34" s="40">
        <v>0.0</v>
      </c>
      <c r="I34" s="40">
        <v>1.0</v>
      </c>
      <c r="J34" s="40">
        <v>0.6666666666666666</v>
      </c>
      <c r="K34" s="40">
        <v>0.3333333333333333</v>
      </c>
      <c r="L34" s="40">
        <v>1.0</v>
      </c>
      <c r="M34" s="40">
        <v>1.0</v>
      </c>
      <c r="N34" s="40">
        <v>0.0</v>
      </c>
      <c r="O34" s="40">
        <v>0.6666666666666666</v>
      </c>
      <c r="P34" s="40">
        <v>1.0</v>
      </c>
      <c r="R34" s="38"/>
      <c r="S34" s="58" t="s">
        <v>49</v>
      </c>
      <c r="T34" s="59" t="s">
        <v>26</v>
      </c>
      <c r="U34" s="60" t="s">
        <v>27</v>
      </c>
      <c r="V34" s="61">
        <v>0.1111111111111111</v>
      </c>
      <c r="W34" s="61">
        <v>0.0</v>
      </c>
      <c r="X34" s="61">
        <v>0.2222222222222222</v>
      </c>
      <c r="Y34" s="61">
        <v>0.2222222222222222</v>
      </c>
      <c r="Z34" s="61">
        <v>0.5555555555555555</v>
      </c>
      <c r="AA34" s="61">
        <v>0.4444444444444444</v>
      </c>
      <c r="AB34" s="61">
        <v>0.3333333333333333</v>
      </c>
      <c r="AC34" s="61">
        <v>0.5555555555555555</v>
      </c>
      <c r="AD34" s="61">
        <v>0.6666666666666666</v>
      </c>
      <c r="AE34" s="61">
        <v>0.5555555555555555</v>
      </c>
      <c r="AF34" s="61">
        <v>0.4444444444444444</v>
      </c>
      <c r="AG34" s="61">
        <v>0.5555555555555555</v>
      </c>
      <c r="AI34" s="38" t="s">
        <v>89</v>
      </c>
    </row>
    <row r="35">
      <c r="A35" s="38">
        <v>392.0</v>
      </c>
      <c r="B35" s="38" t="s">
        <v>46</v>
      </c>
      <c r="C35" s="38" t="s">
        <v>36</v>
      </c>
      <c r="D35" s="38" t="s">
        <v>37</v>
      </c>
      <c r="E35" s="40">
        <v>0.0</v>
      </c>
      <c r="F35" s="40">
        <v>0.6666666666666666</v>
      </c>
      <c r="G35" s="40">
        <v>0.6666666666666666</v>
      </c>
      <c r="H35" s="40">
        <v>0.0</v>
      </c>
      <c r="I35" s="40">
        <v>0.6666666666666666</v>
      </c>
      <c r="J35" s="40">
        <v>0.6666666666666666</v>
      </c>
      <c r="K35" s="40">
        <v>0.0</v>
      </c>
      <c r="L35" s="40">
        <v>0.6666666666666666</v>
      </c>
      <c r="M35" s="40">
        <v>0.3333333333333333</v>
      </c>
      <c r="N35" s="40">
        <v>0.0</v>
      </c>
      <c r="O35" s="40">
        <v>0.6666666666666666</v>
      </c>
      <c r="P35" s="40">
        <v>0.6666666666666666</v>
      </c>
      <c r="R35" s="38"/>
      <c r="S35" s="62"/>
      <c r="T35" s="62"/>
      <c r="U35" s="55" t="s">
        <v>32</v>
      </c>
      <c r="V35" s="61">
        <v>0.3333333333333333</v>
      </c>
      <c r="W35" s="61">
        <v>0.3333333333333333</v>
      </c>
      <c r="X35" s="61">
        <v>0.3333333333333333</v>
      </c>
      <c r="Y35" s="61">
        <v>0.5555555555555555</v>
      </c>
      <c r="Z35" s="61">
        <v>0.8888888888888888</v>
      </c>
      <c r="AA35" s="61">
        <v>0.7777777777777777</v>
      </c>
      <c r="AB35" s="61">
        <v>0.6666666666666666</v>
      </c>
      <c r="AC35" s="61">
        <v>0.8888888888888888</v>
      </c>
      <c r="AD35" s="61">
        <v>0.8888888888888888</v>
      </c>
      <c r="AE35" s="61">
        <v>0.8888888888888888</v>
      </c>
      <c r="AF35" s="61">
        <v>0.8888888888888888</v>
      </c>
      <c r="AG35" s="61">
        <v>0.7777777777777777</v>
      </c>
      <c r="AI35" s="38" t="s">
        <v>90</v>
      </c>
    </row>
    <row r="36">
      <c r="A36" s="38">
        <v>393.0</v>
      </c>
      <c r="B36" s="38" t="s">
        <v>46</v>
      </c>
      <c r="C36" s="38" t="s">
        <v>36</v>
      </c>
      <c r="D36" s="38" t="s">
        <v>37</v>
      </c>
      <c r="E36" s="40">
        <v>0.0</v>
      </c>
      <c r="F36" s="40">
        <v>0.3333333333333333</v>
      </c>
      <c r="G36" s="40">
        <v>0.3333333333333333</v>
      </c>
      <c r="H36" s="40">
        <v>0.0</v>
      </c>
      <c r="I36" s="40">
        <v>0.0</v>
      </c>
      <c r="J36" s="40">
        <v>0.6666666666666666</v>
      </c>
      <c r="K36" s="40">
        <v>0.0</v>
      </c>
      <c r="L36" s="40">
        <v>0.3333333333333333</v>
      </c>
      <c r="M36" s="40">
        <v>0.6666666666666666</v>
      </c>
      <c r="N36" s="40">
        <v>0.0</v>
      </c>
      <c r="O36" s="40">
        <v>0.0</v>
      </c>
      <c r="P36" s="40">
        <v>0.6666666666666666</v>
      </c>
      <c r="R36" s="38"/>
      <c r="S36" s="62"/>
      <c r="T36" s="62"/>
      <c r="U36" s="55" t="s">
        <v>34</v>
      </c>
      <c r="V36" s="61">
        <v>0.3333333333333333</v>
      </c>
      <c r="W36" s="61">
        <v>0.3333333333333333</v>
      </c>
      <c r="X36" s="61">
        <v>0.2222222222222222</v>
      </c>
      <c r="Y36" s="61">
        <v>0.2222222222222222</v>
      </c>
      <c r="Z36" s="61">
        <v>0.5555555555555555</v>
      </c>
      <c r="AA36" s="61">
        <v>0.5555555555555555</v>
      </c>
      <c r="AB36" s="61">
        <v>0.5555555555555555</v>
      </c>
      <c r="AC36" s="61">
        <v>0.5555555555555555</v>
      </c>
      <c r="AD36" s="61">
        <v>0.5555555555555555</v>
      </c>
      <c r="AE36" s="61">
        <v>0.4444444444444444</v>
      </c>
      <c r="AF36" s="61">
        <v>0.6666666666666666</v>
      </c>
      <c r="AG36" s="61">
        <v>0.6666666666666666</v>
      </c>
    </row>
    <row r="37">
      <c r="A37" s="38">
        <v>402.0</v>
      </c>
      <c r="B37" s="38" t="s">
        <v>46</v>
      </c>
      <c r="C37" s="38" t="s">
        <v>36</v>
      </c>
      <c r="D37" s="38" t="s">
        <v>38</v>
      </c>
      <c r="E37" s="40">
        <v>0.6666666666666666</v>
      </c>
      <c r="F37" s="40">
        <v>0.6666666666666666</v>
      </c>
      <c r="G37" s="40">
        <v>0.3333333333333333</v>
      </c>
      <c r="H37" s="40">
        <v>0.6666666666666666</v>
      </c>
      <c r="I37" s="40">
        <v>0.6666666666666666</v>
      </c>
      <c r="J37" s="40">
        <v>0.3333333333333333</v>
      </c>
      <c r="K37" s="40">
        <v>0.3333333333333333</v>
      </c>
      <c r="L37" s="40">
        <v>0.3333333333333333</v>
      </c>
      <c r="M37" s="40">
        <v>0.3333333333333333</v>
      </c>
      <c r="N37" s="40">
        <v>0.3333333333333333</v>
      </c>
      <c r="O37" s="40">
        <v>0.6666666666666666</v>
      </c>
      <c r="P37" s="40">
        <v>0.6666666666666666</v>
      </c>
      <c r="R37" s="38"/>
      <c r="S37" s="62"/>
      <c r="T37" s="63"/>
      <c r="U37" s="55" t="s">
        <v>35</v>
      </c>
      <c r="V37" s="61">
        <v>0.1111111111111111</v>
      </c>
      <c r="W37" s="61">
        <v>0.1111111111111111</v>
      </c>
      <c r="X37" s="61">
        <v>0.0</v>
      </c>
      <c r="Y37" s="61">
        <v>0.2222222222222222</v>
      </c>
      <c r="Z37" s="61">
        <v>0.8888888888888888</v>
      </c>
      <c r="AA37" s="61">
        <v>0.7777777777777778</v>
      </c>
      <c r="AB37" s="61">
        <v>0.4444444444444444</v>
      </c>
      <c r="AC37" s="61">
        <v>0.7777777777777778</v>
      </c>
      <c r="AD37" s="61">
        <v>0.8888888888888888</v>
      </c>
      <c r="AE37" s="61">
        <v>0.6666666666666666</v>
      </c>
      <c r="AF37" s="61">
        <v>0.5555555555555555</v>
      </c>
      <c r="AG37" s="61">
        <v>0.7777777777777777</v>
      </c>
      <c r="AI37" s="38" t="s">
        <v>91</v>
      </c>
    </row>
    <row r="38">
      <c r="A38" s="38">
        <v>403.0</v>
      </c>
      <c r="B38" s="38" t="s">
        <v>46</v>
      </c>
      <c r="C38" s="38" t="s">
        <v>36</v>
      </c>
      <c r="D38" s="38" t="s">
        <v>38</v>
      </c>
      <c r="E38" s="40">
        <v>0.3333333333333333</v>
      </c>
      <c r="F38" s="40">
        <v>1.0</v>
      </c>
      <c r="G38" s="40">
        <v>1.0</v>
      </c>
      <c r="H38" s="40">
        <v>0.3333333333333333</v>
      </c>
      <c r="I38" s="40">
        <v>1.0</v>
      </c>
      <c r="J38" s="40">
        <v>1.0</v>
      </c>
      <c r="K38" s="40">
        <v>0.6666666666666666</v>
      </c>
      <c r="L38" s="40">
        <v>0.6666666666666666</v>
      </c>
      <c r="M38" s="40">
        <v>1.0</v>
      </c>
      <c r="N38" s="40">
        <v>0.3333333333333333</v>
      </c>
      <c r="O38" s="40">
        <v>1.0</v>
      </c>
      <c r="P38" s="40">
        <v>1.0</v>
      </c>
      <c r="R38" s="38"/>
      <c r="S38" s="62"/>
      <c r="T38" s="58" t="s">
        <v>36</v>
      </c>
      <c r="U38" s="55" t="s">
        <v>37</v>
      </c>
      <c r="V38" s="61">
        <v>0.0</v>
      </c>
      <c r="W38" s="61">
        <v>0.1111111111111111</v>
      </c>
      <c r="X38" s="61">
        <v>0.1111111111111111</v>
      </c>
      <c r="Y38" s="61">
        <v>0.1111111111111111</v>
      </c>
      <c r="Z38" s="61">
        <v>0.4444444444444444</v>
      </c>
      <c r="AA38" s="61">
        <v>0.1111111111111111</v>
      </c>
      <c r="AB38" s="61">
        <v>0.1111111111111111</v>
      </c>
      <c r="AC38" s="61">
        <v>0.4444444444444444</v>
      </c>
      <c r="AD38" s="61">
        <v>0.6666666666666666</v>
      </c>
      <c r="AE38" s="61">
        <v>0.7777777777777777</v>
      </c>
      <c r="AF38" s="61">
        <v>0.6666666666666666</v>
      </c>
      <c r="AG38" s="61">
        <v>0.6666666666666666</v>
      </c>
    </row>
    <row r="39">
      <c r="A39" s="38">
        <v>404.0</v>
      </c>
      <c r="B39" s="38" t="s">
        <v>46</v>
      </c>
      <c r="C39" s="38" t="s">
        <v>36</v>
      </c>
      <c r="D39" s="38" t="s">
        <v>38</v>
      </c>
      <c r="E39" s="40">
        <v>0.3333333333333333</v>
      </c>
      <c r="F39" s="40">
        <v>0.3333333333333333</v>
      </c>
      <c r="G39" s="40">
        <v>0.6666666666666666</v>
      </c>
      <c r="H39" s="40">
        <v>0.3333333333333333</v>
      </c>
      <c r="I39" s="40">
        <v>0.3333333333333333</v>
      </c>
      <c r="J39" s="40">
        <v>0.6666666666666666</v>
      </c>
      <c r="K39" s="40">
        <v>0.0</v>
      </c>
      <c r="L39" s="40">
        <v>0.6666666666666666</v>
      </c>
      <c r="M39" s="40">
        <v>1.0</v>
      </c>
      <c r="N39" s="40">
        <v>0.3333333333333333</v>
      </c>
      <c r="O39" s="40">
        <v>0.6666666666666666</v>
      </c>
      <c r="P39" s="40">
        <v>0.6666666666666666</v>
      </c>
      <c r="R39" s="38"/>
      <c r="S39" s="62"/>
      <c r="T39" s="62"/>
      <c r="U39" s="55" t="s">
        <v>38</v>
      </c>
      <c r="V39" s="61">
        <v>0.0</v>
      </c>
      <c r="W39" s="61">
        <v>0.0</v>
      </c>
      <c r="X39" s="61">
        <v>0.1111111111111111</v>
      </c>
      <c r="Y39" s="61">
        <v>0.2222222222222222</v>
      </c>
      <c r="Z39" s="61">
        <v>0.2222222222222222</v>
      </c>
      <c r="AA39" s="61">
        <v>0.1111111111111111</v>
      </c>
      <c r="AB39" s="61">
        <v>0.5555555555555555</v>
      </c>
      <c r="AC39" s="61">
        <v>0.3333333333333333</v>
      </c>
      <c r="AD39" s="61">
        <v>0.5555555555555555</v>
      </c>
      <c r="AE39" s="61">
        <v>0.6666666666666666</v>
      </c>
      <c r="AF39" s="61">
        <v>0.6666666666666666</v>
      </c>
      <c r="AG39" s="61">
        <v>0.6666666666666666</v>
      </c>
    </row>
    <row r="40">
      <c r="A40" s="38">
        <v>411.0</v>
      </c>
      <c r="B40" s="38" t="s">
        <v>46</v>
      </c>
      <c r="C40" s="38" t="s">
        <v>36</v>
      </c>
      <c r="D40" s="38" t="s">
        <v>47</v>
      </c>
      <c r="E40" s="40">
        <v>0.3333333333333333</v>
      </c>
      <c r="F40" s="40">
        <v>0.6666666666666666</v>
      </c>
      <c r="G40" s="40">
        <v>0.6666666666666666</v>
      </c>
      <c r="H40" s="40">
        <v>0.3333333333333333</v>
      </c>
      <c r="I40" s="40">
        <v>0.6666666666666666</v>
      </c>
      <c r="J40" s="40">
        <v>0.6666666666666666</v>
      </c>
      <c r="K40" s="40">
        <v>0.6666666666666666</v>
      </c>
      <c r="L40" s="40">
        <v>1.0</v>
      </c>
      <c r="M40" s="40">
        <v>0.6666666666666666</v>
      </c>
      <c r="N40" s="40">
        <v>1.0</v>
      </c>
      <c r="O40" s="40">
        <v>1.0</v>
      </c>
      <c r="P40" s="40">
        <v>0.6666666666666666</v>
      </c>
      <c r="R40" s="38"/>
      <c r="S40" s="62"/>
      <c r="T40" s="62"/>
      <c r="U40" s="55" t="s">
        <v>39</v>
      </c>
      <c r="V40" s="61">
        <v>0.0</v>
      </c>
      <c r="W40" s="61">
        <v>0.0</v>
      </c>
      <c r="X40" s="61">
        <v>0.1111111111111111</v>
      </c>
      <c r="Y40" s="61">
        <v>0.2222222222222222</v>
      </c>
      <c r="Z40" s="61">
        <v>0.4444444444444444</v>
      </c>
      <c r="AA40" s="61">
        <v>0.5555555555555555</v>
      </c>
      <c r="AB40" s="61">
        <v>0.6666666666666666</v>
      </c>
      <c r="AC40" s="61">
        <v>0.5555555555555555</v>
      </c>
      <c r="AD40" s="61">
        <v>0.7777777777777777</v>
      </c>
      <c r="AE40" s="61">
        <v>0.6666666666666666</v>
      </c>
      <c r="AF40" s="61">
        <v>0.7777777777777777</v>
      </c>
      <c r="AG40" s="61">
        <v>0.7777777777777777</v>
      </c>
    </row>
    <row r="41">
      <c r="A41" s="38">
        <v>412.0</v>
      </c>
      <c r="B41" s="38" t="s">
        <v>46</v>
      </c>
      <c r="C41" s="38" t="s">
        <v>36</v>
      </c>
      <c r="D41" s="38" t="s">
        <v>47</v>
      </c>
      <c r="E41" s="40">
        <v>0.3333333333333333</v>
      </c>
      <c r="F41" s="40">
        <v>1.0</v>
      </c>
      <c r="G41" s="40">
        <v>1.0</v>
      </c>
      <c r="H41" s="40">
        <v>0.3333333333333333</v>
      </c>
      <c r="I41" s="40">
        <v>1.0</v>
      </c>
      <c r="J41" s="40">
        <v>1.0</v>
      </c>
      <c r="K41" s="40">
        <v>1.0</v>
      </c>
      <c r="L41" s="40">
        <v>1.0</v>
      </c>
      <c r="M41" s="40">
        <v>1.0</v>
      </c>
      <c r="N41" s="40">
        <v>0.6666666666666666</v>
      </c>
      <c r="O41" s="40">
        <v>1.0</v>
      </c>
      <c r="P41" s="40">
        <v>0.6666666666666666</v>
      </c>
      <c r="R41" s="38"/>
      <c r="S41" s="62"/>
      <c r="T41" s="63"/>
      <c r="U41" s="55" t="s">
        <v>40</v>
      </c>
      <c r="V41" s="61">
        <v>0.0</v>
      </c>
      <c r="W41" s="61">
        <v>0.0</v>
      </c>
      <c r="X41" s="61">
        <v>0.2222222222222222</v>
      </c>
      <c r="Y41" s="61">
        <v>0.1111111111111111</v>
      </c>
      <c r="Z41" s="61">
        <v>0.5555555555555555</v>
      </c>
      <c r="AA41" s="61">
        <v>0.6666666666666666</v>
      </c>
      <c r="AB41" s="61">
        <v>0.6666666666666666</v>
      </c>
      <c r="AC41" s="61">
        <v>0.6666666666666666</v>
      </c>
      <c r="AD41" s="61">
        <v>0.7777777777777777</v>
      </c>
      <c r="AE41" s="61">
        <v>0.6666666666666666</v>
      </c>
      <c r="AF41" s="61">
        <v>0.7777777777777777</v>
      </c>
      <c r="AG41" s="61">
        <v>0.7777777777777777</v>
      </c>
    </row>
    <row r="42">
      <c r="A42" s="38">
        <v>413.0</v>
      </c>
      <c r="B42" s="38" t="s">
        <v>46</v>
      </c>
      <c r="C42" s="38" t="s">
        <v>36</v>
      </c>
      <c r="D42" s="38" t="s">
        <v>47</v>
      </c>
      <c r="E42" s="40">
        <v>0.6666666666666666</v>
      </c>
      <c r="F42" s="40">
        <v>1.0</v>
      </c>
      <c r="G42" s="40">
        <v>0.3333333333333333</v>
      </c>
      <c r="H42" s="40">
        <v>0.6666666666666666</v>
      </c>
      <c r="I42" s="40">
        <v>1.0</v>
      </c>
      <c r="J42" s="40">
        <v>0.6666666666666666</v>
      </c>
      <c r="K42" s="40">
        <v>0.3333333333333333</v>
      </c>
      <c r="L42" s="40">
        <v>0.6666666666666666</v>
      </c>
      <c r="M42" s="40">
        <v>0.6666666666666666</v>
      </c>
      <c r="N42" s="40">
        <v>0.3333333333333333</v>
      </c>
      <c r="O42" s="40">
        <v>0.6666666666666666</v>
      </c>
      <c r="P42" s="40">
        <v>0.6666666666666666</v>
      </c>
      <c r="R42" s="38"/>
      <c r="S42" s="62"/>
      <c r="T42" s="58" t="s">
        <v>41</v>
      </c>
      <c r="U42" s="55" t="s">
        <v>42</v>
      </c>
      <c r="V42" s="61">
        <v>0.3333333333333333</v>
      </c>
      <c r="W42" s="61">
        <v>0.2222222222222222</v>
      </c>
      <c r="X42" s="61">
        <v>0.0</v>
      </c>
      <c r="Y42" s="61">
        <v>0.3333333333333333</v>
      </c>
      <c r="Z42" s="61">
        <v>0.4444444444444444</v>
      </c>
      <c r="AA42" s="61">
        <v>0.4444444444444444</v>
      </c>
      <c r="AB42" s="61">
        <v>0.2222222222222222</v>
      </c>
      <c r="AC42" s="61">
        <v>0.5555555555555555</v>
      </c>
      <c r="AD42" s="61">
        <v>0.6666666666666666</v>
      </c>
      <c r="AE42" s="61">
        <v>0.6666666666666666</v>
      </c>
      <c r="AF42" s="61">
        <v>0.6666666666666666</v>
      </c>
      <c r="AG42" s="61">
        <v>0.6666666666666666</v>
      </c>
    </row>
    <row r="43">
      <c r="A43" s="38">
        <v>421.0</v>
      </c>
      <c r="B43" s="38" t="s">
        <v>46</v>
      </c>
      <c r="C43" s="38" t="s">
        <v>36</v>
      </c>
      <c r="D43" s="38" t="s">
        <v>48</v>
      </c>
      <c r="E43" s="40">
        <v>0.3333333333333333</v>
      </c>
      <c r="F43" s="40">
        <v>0.3333333333333333</v>
      </c>
      <c r="G43" s="40">
        <v>0.6666666666666666</v>
      </c>
      <c r="H43" s="40">
        <v>0.3333333333333333</v>
      </c>
      <c r="I43" s="40">
        <v>0.3333333333333333</v>
      </c>
      <c r="J43" s="40">
        <v>0.6666666666666666</v>
      </c>
      <c r="K43" s="40">
        <v>0.3333333333333333</v>
      </c>
      <c r="L43" s="40">
        <v>0.3333333333333333</v>
      </c>
      <c r="M43" s="40">
        <v>0.6666666666666666</v>
      </c>
      <c r="N43" s="40">
        <v>0.3333333333333333</v>
      </c>
      <c r="O43" s="40">
        <v>0.3333333333333333</v>
      </c>
      <c r="P43" s="40">
        <v>0.6666666666666666</v>
      </c>
      <c r="R43" s="38"/>
      <c r="S43" s="62"/>
      <c r="T43" s="62"/>
      <c r="U43" s="55" t="s">
        <v>43</v>
      </c>
      <c r="V43" s="61">
        <v>0.1111111111111111</v>
      </c>
      <c r="W43" s="61">
        <v>0.1111111111111111</v>
      </c>
      <c r="X43" s="61">
        <v>0.0</v>
      </c>
      <c r="Y43" s="61">
        <v>0.2222222222222222</v>
      </c>
      <c r="Z43" s="61">
        <v>0.4444444444444444</v>
      </c>
      <c r="AA43" s="61">
        <v>0.4444444444444444</v>
      </c>
      <c r="AB43" s="61">
        <v>0.1111111111111111</v>
      </c>
      <c r="AC43" s="61">
        <v>0.6666666666666666</v>
      </c>
      <c r="AD43" s="61">
        <v>0.7777777777777777</v>
      </c>
      <c r="AE43" s="61">
        <v>0.8888888888888888</v>
      </c>
      <c r="AF43" s="61">
        <v>0.7777777777777777</v>
      </c>
      <c r="AG43" s="61">
        <v>0.7777777777777777</v>
      </c>
    </row>
    <row r="44">
      <c r="A44" s="38">
        <v>422.0</v>
      </c>
      <c r="B44" s="38" t="s">
        <v>46</v>
      </c>
      <c r="C44" s="38" t="s">
        <v>36</v>
      </c>
      <c r="D44" s="38" t="s">
        <v>48</v>
      </c>
      <c r="E44" s="40">
        <v>0.0</v>
      </c>
      <c r="F44" s="40">
        <v>0.3333333333333333</v>
      </c>
      <c r="G44" s="40">
        <v>0.6666666666666666</v>
      </c>
      <c r="H44" s="40">
        <v>0.0</v>
      </c>
      <c r="I44" s="40">
        <v>0.3333333333333333</v>
      </c>
      <c r="J44" s="40">
        <v>0.6666666666666666</v>
      </c>
      <c r="K44" s="40">
        <v>0.3333333333333333</v>
      </c>
      <c r="L44" s="40">
        <v>0.6666666666666666</v>
      </c>
      <c r="M44" s="40">
        <v>0.6666666666666666</v>
      </c>
      <c r="N44" s="40">
        <v>0.0</v>
      </c>
      <c r="O44" s="40">
        <v>0.3333333333333333</v>
      </c>
      <c r="P44" s="40">
        <v>0.6666666666666666</v>
      </c>
      <c r="R44" s="38"/>
      <c r="S44" s="62"/>
      <c r="T44" s="62"/>
      <c r="U44" s="55" t="s">
        <v>44</v>
      </c>
      <c r="V44" s="61">
        <v>0.1111111111111111</v>
      </c>
      <c r="W44" s="61">
        <v>0.1111111111111111</v>
      </c>
      <c r="X44" s="61">
        <v>0.1111111111111111</v>
      </c>
      <c r="Y44" s="61">
        <v>0.0</v>
      </c>
      <c r="Z44" s="61">
        <v>0.3333333333333333</v>
      </c>
      <c r="AA44" s="61">
        <v>0.3333333333333333</v>
      </c>
      <c r="AB44" s="61">
        <v>0.3333333333333333</v>
      </c>
      <c r="AC44" s="61">
        <v>0.2222222222222222</v>
      </c>
      <c r="AD44" s="61">
        <v>0.4444444444444444</v>
      </c>
      <c r="AE44" s="61">
        <v>0.5555555555555555</v>
      </c>
      <c r="AF44" s="61">
        <v>0.6666666666666666</v>
      </c>
      <c r="AG44" s="61">
        <v>0.5555555555555555</v>
      </c>
    </row>
    <row r="45">
      <c r="A45" s="38">
        <v>423.0</v>
      </c>
      <c r="B45" s="38" t="s">
        <v>46</v>
      </c>
      <c r="C45" s="38" t="s">
        <v>36</v>
      </c>
      <c r="D45" s="38" t="s">
        <v>48</v>
      </c>
      <c r="E45" s="40">
        <v>0.3333333333333333</v>
      </c>
      <c r="F45" s="40">
        <v>1.0</v>
      </c>
      <c r="G45" s="40">
        <v>1.0</v>
      </c>
      <c r="H45" s="40">
        <v>0.3333333333333333</v>
      </c>
      <c r="I45" s="40">
        <v>1.0</v>
      </c>
      <c r="J45" s="40">
        <v>1.0</v>
      </c>
      <c r="K45" s="40">
        <v>0.6666666666666666</v>
      </c>
      <c r="L45" s="40">
        <v>1.0</v>
      </c>
      <c r="M45" s="40">
        <v>1.0</v>
      </c>
      <c r="N45" s="40">
        <v>0.6666666666666666</v>
      </c>
      <c r="O45" s="40">
        <v>0.6666666666666666</v>
      </c>
      <c r="P45" s="40">
        <v>1.0</v>
      </c>
      <c r="R45" s="38"/>
      <c r="S45" s="63"/>
      <c r="T45" s="63"/>
      <c r="U45" s="55" t="s">
        <v>45</v>
      </c>
      <c r="V45" s="61">
        <v>0.3333333333333333</v>
      </c>
      <c r="W45" s="61">
        <v>0.3333333333333333</v>
      </c>
      <c r="X45" s="61">
        <v>0.0</v>
      </c>
      <c r="Y45" s="61">
        <v>0.4444444444444444</v>
      </c>
      <c r="Z45" s="61">
        <v>0.5555555555555555</v>
      </c>
      <c r="AA45" s="61">
        <v>0.5555555555555555</v>
      </c>
      <c r="AB45" s="61">
        <v>0.2222222222222222</v>
      </c>
      <c r="AC45" s="61">
        <v>0.5555555555555555</v>
      </c>
      <c r="AD45" s="61">
        <v>0.8888888888888888</v>
      </c>
      <c r="AE45" s="61">
        <v>0.6666666666666666</v>
      </c>
      <c r="AF45" s="61">
        <v>0.4444444444444444</v>
      </c>
      <c r="AG45" s="61">
        <v>0.6666666666666666</v>
      </c>
    </row>
    <row r="46">
      <c r="A46" s="38">
        <v>521.0</v>
      </c>
      <c r="B46" s="38" t="s">
        <v>46</v>
      </c>
      <c r="C46" s="38" t="s">
        <v>41</v>
      </c>
      <c r="D46" s="38" t="s">
        <v>42</v>
      </c>
      <c r="E46" s="40">
        <v>0.0</v>
      </c>
      <c r="F46" s="40">
        <v>1.0</v>
      </c>
      <c r="G46" s="40">
        <v>0.6666666666666666</v>
      </c>
      <c r="H46" s="40">
        <v>0.0</v>
      </c>
      <c r="I46" s="40">
        <v>1.0</v>
      </c>
      <c r="J46" s="40">
        <v>0.6666666666666666</v>
      </c>
      <c r="K46" s="40">
        <v>0.6666666666666666</v>
      </c>
      <c r="L46" s="40">
        <v>0.6666666666666666</v>
      </c>
      <c r="M46" s="40">
        <v>0.6666666666666666</v>
      </c>
      <c r="N46" s="40">
        <v>0.0</v>
      </c>
      <c r="O46" s="40">
        <v>0.6666666666666666</v>
      </c>
      <c r="P46" s="40">
        <v>1.0</v>
      </c>
      <c r="R46" s="38"/>
    </row>
    <row r="47">
      <c r="A47" s="38">
        <v>522.0</v>
      </c>
      <c r="B47" s="38" t="s">
        <v>46</v>
      </c>
      <c r="C47" s="38" t="s">
        <v>41</v>
      </c>
      <c r="D47" s="38" t="s">
        <v>42</v>
      </c>
      <c r="E47" s="40">
        <v>0.0</v>
      </c>
      <c r="F47" s="40">
        <v>0.3333333333333333</v>
      </c>
      <c r="G47" s="40">
        <v>0.3333333333333333</v>
      </c>
      <c r="H47" s="40">
        <v>0.0</v>
      </c>
      <c r="I47" s="40">
        <v>0.3333333333333333</v>
      </c>
      <c r="J47" s="40">
        <v>0.3333333333333333</v>
      </c>
      <c r="K47" s="40">
        <v>0.0</v>
      </c>
      <c r="L47" s="40">
        <v>0.0</v>
      </c>
      <c r="M47" s="40">
        <v>0.6666666666666666</v>
      </c>
      <c r="N47" s="40">
        <v>0.0</v>
      </c>
      <c r="O47" s="40">
        <v>0.3333333333333333</v>
      </c>
      <c r="P47" s="40">
        <v>0.3333333333333333</v>
      </c>
      <c r="R47" s="38"/>
    </row>
    <row r="48">
      <c r="A48" s="38">
        <v>523.0</v>
      </c>
      <c r="B48" s="38" t="s">
        <v>46</v>
      </c>
      <c r="C48" s="38" t="s">
        <v>41</v>
      </c>
      <c r="D48" s="38" t="s">
        <v>42</v>
      </c>
      <c r="E48" s="40">
        <v>1.0</v>
      </c>
      <c r="F48" s="40">
        <v>1.0</v>
      </c>
      <c r="G48" s="40">
        <v>0.6666666666666666</v>
      </c>
      <c r="H48" s="40">
        <v>1.0</v>
      </c>
      <c r="I48" s="40">
        <v>1.0</v>
      </c>
      <c r="J48" s="40">
        <v>1.0</v>
      </c>
      <c r="K48" s="40">
        <v>0.6666666666666666</v>
      </c>
      <c r="L48" s="40">
        <v>0.6666666666666666</v>
      </c>
      <c r="M48" s="40">
        <v>0.3333333333333333</v>
      </c>
      <c r="N48" s="40">
        <v>0.6666666666666666</v>
      </c>
      <c r="O48" s="40">
        <v>1.0</v>
      </c>
      <c r="P48" s="40">
        <v>1.0</v>
      </c>
      <c r="R48" s="38"/>
    </row>
    <row r="49">
      <c r="A49" s="38">
        <v>533.0</v>
      </c>
      <c r="B49" s="38" t="s">
        <v>46</v>
      </c>
      <c r="C49" s="38" t="s">
        <v>41</v>
      </c>
      <c r="D49" s="38" t="s">
        <v>43</v>
      </c>
      <c r="E49" s="40">
        <v>0.0</v>
      </c>
      <c r="F49" s="40">
        <v>0.0</v>
      </c>
      <c r="G49" s="40">
        <v>0.3333333333333333</v>
      </c>
      <c r="H49" s="40">
        <v>0.0</v>
      </c>
      <c r="I49" s="40">
        <v>0.0</v>
      </c>
      <c r="J49" s="40">
        <v>0.3333333333333333</v>
      </c>
      <c r="K49" s="40">
        <v>0.0</v>
      </c>
      <c r="L49" s="40">
        <v>0.6666666666666666</v>
      </c>
      <c r="M49" s="40">
        <v>0.3333333333333333</v>
      </c>
      <c r="N49" s="40">
        <v>0.0</v>
      </c>
      <c r="O49" s="40">
        <v>0.0</v>
      </c>
      <c r="P49" s="40">
        <v>0.0</v>
      </c>
      <c r="R49" s="38"/>
    </row>
    <row r="50">
      <c r="A50" s="38">
        <v>534.0</v>
      </c>
      <c r="B50" s="38" t="s">
        <v>46</v>
      </c>
      <c r="C50" s="38" t="s">
        <v>41</v>
      </c>
      <c r="D50" s="38" t="s">
        <v>43</v>
      </c>
      <c r="E50" s="40">
        <v>0.6666666666666666</v>
      </c>
      <c r="F50" s="40">
        <v>1.0</v>
      </c>
      <c r="G50" s="40">
        <v>0.6666666666666666</v>
      </c>
      <c r="H50" s="40">
        <v>0.6666666666666666</v>
      </c>
      <c r="I50" s="40">
        <v>1.0</v>
      </c>
      <c r="J50" s="40">
        <v>1.0</v>
      </c>
      <c r="K50" s="40">
        <v>0.6666666666666666</v>
      </c>
      <c r="L50" s="40">
        <v>0.3333333333333333</v>
      </c>
      <c r="M50" s="40">
        <v>1.0</v>
      </c>
      <c r="N50" s="40">
        <v>0.3333333333333333</v>
      </c>
      <c r="O50" s="40">
        <v>0.6666666666666666</v>
      </c>
      <c r="P50" s="40">
        <v>0.3333333333333333</v>
      </c>
      <c r="R50" s="38"/>
    </row>
    <row r="51">
      <c r="A51" s="38">
        <v>535.0</v>
      </c>
      <c r="B51" s="38" t="s">
        <v>46</v>
      </c>
      <c r="C51" s="38" t="s">
        <v>41</v>
      </c>
      <c r="D51" s="38" t="s">
        <v>43</v>
      </c>
      <c r="E51" s="40">
        <v>0.3333333333333333</v>
      </c>
      <c r="F51" s="40">
        <v>0.3333333333333333</v>
      </c>
      <c r="G51" s="40">
        <v>1.0</v>
      </c>
      <c r="H51" s="40">
        <v>0.3333333333333333</v>
      </c>
      <c r="I51" s="40">
        <v>0.3333333333333333</v>
      </c>
      <c r="J51" s="40">
        <v>0.6666666666666666</v>
      </c>
      <c r="K51" s="40">
        <v>0.3333333333333333</v>
      </c>
      <c r="L51" s="40">
        <v>1.0</v>
      </c>
      <c r="M51" s="40">
        <v>0.3333333333333333</v>
      </c>
      <c r="N51" s="40">
        <v>0.3333333333333333</v>
      </c>
      <c r="O51" s="40">
        <v>0.6666666666666666</v>
      </c>
      <c r="P51" s="40">
        <v>0.0</v>
      </c>
      <c r="R51" s="38"/>
    </row>
    <row r="52">
      <c r="A52" s="38">
        <v>551.0</v>
      </c>
      <c r="B52" s="38" t="s">
        <v>46</v>
      </c>
      <c r="C52" s="38" t="s">
        <v>41</v>
      </c>
      <c r="D52" s="38" t="s">
        <v>44</v>
      </c>
      <c r="E52" s="40">
        <v>0.0</v>
      </c>
      <c r="F52" s="40">
        <v>0.0</v>
      </c>
      <c r="G52" s="40">
        <v>0.6666666666666666</v>
      </c>
      <c r="H52" s="40">
        <v>0.0</v>
      </c>
      <c r="I52" s="40">
        <v>0.0</v>
      </c>
      <c r="J52" s="40">
        <v>0.0</v>
      </c>
      <c r="K52" s="40">
        <v>0.0</v>
      </c>
      <c r="L52" s="40">
        <v>0.0</v>
      </c>
      <c r="M52" s="40">
        <v>0.3333333333333333</v>
      </c>
      <c r="N52" s="40">
        <v>0.3333333333333333</v>
      </c>
      <c r="O52" s="40">
        <v>0.3333333333333333</v>
      </c>
      <c r="P52" s="40">
        <v>0.3333333333333333</v>
      </c>
      <c r="R52" s="38"/>
    </row>
    <row r="53">
      <c r="A53" s="38">
        <v>552.0</v>
      </c>
      <c r="B53" s="38" t="s">
        <v>46</v>
      </c>
      <c r="C53" s="38" t="s">
        <v>41</v>
      </c>
      <c r="D53" s="38" t="s">
        <v>44</v>
      </c>
      <c r="E53" s="40">
        <v>0.0</v>
      </c>
      <c r="F53" s="40">
        <v>0.6666666666666666</v>
      </c>
      <c r="G53" s="40">
        <v>0.6666666666666666</v>
      </c>
      <c r="H53" s="40">
        <v>0.0</v>
      </c>
      <c r="I53" s="40">
        <v>0.3333333333333333</v>
      </c>
      <c r="J53" s="40">
        <v>0.3333333333333333</v>
      </c>
      <c r="K53" s="40">
        <v>0.3333333333333333</v>
      </c>
      <c r="L53" s="40">
        <v>0.3333333333333333</v>
      </c>
      <c r="M53" s="40">
        <v>0.0</v>
      </c>
      <c r="N53" s="40">
        <v>0.3333333333333333</v>
      </c>
      <c r="O53" s="40">
        <v>0.3333333333333333</v>
      </c>
      <c r="P53" s="40">
        <v>0.3333333333333333</v>
      </c>
      <c r="R53" s="38"/>
    </row>
    <row r="54">
      <c r="A54" s="38">
        <v>553.0</v>
      </c>
      <c r="B54" s="38" t="s">
        <v>46</v>
      </c>
      <c r="C54" s="38" t="s">
        <v>41</v>
      </c>
      <c r="D54" s="38" t="s">
        <v>44</v>
      </c>
      <c r="E54" s="40">
        <v>0.0</v>
      </c>
      <c r="F54" s="40">
        <v>0.0</v>
      </c>
      <c r="G54" s="40">
        <v>0.6666666666666666</v>
      </c>
      <c r="H54" s="40">
        <v>0.0</v>
      </c>
      <c r="I54" s="40">
        <v>0.0</v>
      </c>
      <c r="J54" s="40">
        <v>0.3333333333333333</v>
      </c>
      <c r="K54" s="40">
        <v>0.0</v>
      </c>
      <c r="L54" s="40">
        <v>0.3333333333333333</v>
      </c>
      <c r="M54" s="40">
        <v>0.6666666666666666</v>
      </c>
      <c r="N54" s="40">
        <v>0.0</v>
      </c>
      <c r="O54" s="40">
        <v>0.3333333333333333</v>
      </c>
      <c r="P54" s="40">
        <v>0.3333333333333333</v>
      </c>
      <c r="R54" s="38"/>
    </row>
    <row r="55">
      <c r="A55" s="38">
        <v>561.0</v>
      </c>
      <c r="B55" s="38" t="s">
        <v>46</v>
      </c>
      <c r="C55" s="38" t="s">
        <v>41</v>
      </c>
      <c r="D55" s="38" t="s">
        <v>45</v>
      </c>
      <c r="E55" s="40">
        <v>0.3333333333333333</v>
      </c>
      <c r="F55" s="40">
        <v>0.3333333333333333</v>
      </c>
      <c r="G55" s="40">
        <v>0.6666666666666666</v>
      </c>
      <c r="H55" s="40">
        <v>0.3333333333333333</v>
      </c>
      <c r="I55" s="40">
        <v>0.3333333333333333</v>
      </c>
      <c r="J55" s="40">
        <v>0.3333333333333333</v>
      </c>
      <c r="K55" s="40">
        <v>0.3333333333333333</v>
      </c>
      <c r="L55" s="40">
        <v>0.6666666666666666</v>
      </c>
      <c r="M55" s="40">
        <v>0.6666666666666666</v>
      </c>
      <c r="N55" s="40">
        <v>0.3333333333333333</v>
      </c>
      <c r="O55" s="40">
        <v>0.3333333333333333</v>
      </c>
      <c r="P55" s="40">
        <v>0.6666666666666666</v>
      </c>
      <c r="R55" s="38"/>
    </row>
    <row r="56">
      <c r="A56" s="38">
        <v>562.0</v>
      </c>
      <c r="B56" s="38" t="s">
        <v>46</v>
      </c>
      <c r="C56" s="38" t="s">
        <v>41</v>
      </c>
      <c r="D56" s="38" t="s">
        <v>45</v>
      </c>
      <c r="E56" s="40">
        <v>0.0</v>
      </c>
      <c r="F56" s="40">
        <v>0.6666666666666666</v>
      </c>
      <c r="G56" s="40">
        <v>0.3333333333333333</v>
      </c>
      <c r="H56" s="40">
        <v>0.0</v>
      </c>
      <c r="I56" s="40">
        <v>0.3333333333333333</v>
      </c>
      <c r="J56" s="40">
        <v>0.6666666666666666</v>
      </c>
      <c r="K56" s="40">
        <v>0.3333333333333333</v>
      </c>
      <c r="L56" s="40">
        <v>0.6666666666666666</v>
      </c>
      <c r="M56" s="40">
        <v>0.6666666666666666</v>
      </c>
      <c r="N56" s="40">
        <v>0.0</v>
      </c>
      <c r="O56" s="40">
        <v>0.6666666666666666</v>
      </c>
      <c r="P56" s="40">
        <v>0.3333333333333333</v>
      </c>
      <c r="R56" s="38"/>
    </row>
    <row r="57">
      <c r="A57" s="38">
        <v>564.0</v>
      </c>
      <c r="B57" s="38" t="s">
        <v>46</v>
      </c>
      <c r="C57" s="38" t="s">
        <v>41</v>
      </c>
      <c r="D57" s="38" t="s">
        <v>45</v>
      </c>
      <c r="E57" s="40">
        <v>0.0</v>
      </c>
      <c r="F57" s="40">
        <v>1.0</v>
      </c>
      <c r="G57" s="40">
        <v>0.3333333333333333</v>
      </c>
      <c r="H57" s="40">
        <v>0.0</v>
      </c>
      <c r="I57" s="40">
        <v>1.0</v>
      </c>
      <c r="J57" s="40">
        <v>0.0</v>
      </c>
      <c r="K57" s="40">
        <v>0.3333333333333333</v>
      </c>
      <c r="L57" s="40">
        <v>0.3333333333333333</v>
      </c>
      <c r="M57" s="40">
        <v>0.0</v>
      </c>
      <c r="N57" s="40">
        <v>0.3333333333333333</v>
      </c>
      <c r="O57" s="40">
        <v>0.3333333333333333</v>
      </c>
      <c r="P57" s="40">
        <v>0.6666666666666666</v>
      </c>
      <c r="R57" s="38"/>
    </row>
    <row r="58">
      <c r="A58" s="38">
        <v>1.0</v>
      </c>
      <c r="B58" s="38" t="s">
        <v>49</v>
      </c>
      <c r="C58" s="38" t="s">
        <v>26</v>
      </c>
      <c r="D58" s="38" t="s">
        <v>27</v>
      </c>
      <c r="E58" s="40">
        <v>0.3333333333333333</v>
      </c>
      <c r="F58" s="40">
        <v>1.0</v>
      </c>
      <c r="G58" s="40">
        <v>1.0</v>
      </c>
      <c r="H58" s="40">
        <v>0.0</v>
      </c>
      <c r="I58" s="40">
        <v>0.6666666666666666</v>
      </c>
      <c r="J58" s="40">
        <v>0.3333333333333333</v>
      </c>
      <c r="K58" s="40">
        <v>0.3333333333333333</v>
      </c>
      <c r="L58" s="40">
        <v>0.3333333333333333</v>
      </c>
      <c r="M58" s="40">
        <v>0.3333333333333333</v>
      </c>
      <c r="N58" s="40">
        <v>0.3333333333333333</v>
      </c>
      <c r="O58" s="40">
        <v>0.6666666666666666</v>
      </c>
      <c r="P58" s="40">
        <v>0.6666666666666666</v>
      </c>
      <c r="R58" s="38"/>
    </row>
    <row r="59">
      <c r="A59" s="38">
        <v>2.0</v>
      </c>
      <c r="B59" s="38" t="s">
        <v>49</v>
      </c>
      <c r="C59" s="38" t="s">
        <v>26</v>
      </c>
      <c r="D59" s="38" t="s">
        <v>27</v>
      </c>
      <c r="E59" s="40">
        <v>0.0</v>
      </c>
      <c r="F59" s="40">
        <v>0.3333333333333333</v>
      </c>
      <c r="G59" s="40">
        <v>0.6666666666666666</v>
      </c>
      <c r="H59" s="40">
        <v>0.0</v>
      </c>
      <c r="I59" s="40">
        <v>0.3333333333333333</v>
      </c>
      <c r="J59" s="40">
        <v>0.6666666666666666</v>
      </c>
      <c r="K59" s="40">
        <v>0.0</v>
      </c>
      <c r="L59" s="40">
        <v>0.3333333333333333</v>
      </c>
      <c r="M59" s="40">
        <v>0.6666666666666666</v>
      </c>
      <c r="N59" s="40">
        <v>0.0</v>
      </c>
      <c r="O59" s="40">
        <v>0.3333333333333333</v>
      </c>
      <c r="P59" s="40">
        <v>0.6666666666666666</v>
      </c>
      <c r="R59" s="38"/>
      <c r="S59" s="64" t="s">
        <v>92</v>
      </c>
      <c r="T59" s="64" t="s">
        <v>93</v>
      </c>
      <c r="U59" s="65"/>
      <c r="V59" s="66" t="s">
        <v>72</v>
      </c>
      <c r="W59" s="43"/>
      <c r="X59" s="43"/>
      <c r="Y59" s="66" t="s">
        <v>55</v>
      </c>
      <c r="Z59" s="43"/>
      <c r="AA59" s="43"/>
      <c r="AB59" s="66" t="s">
        <v>56</v>
      </c>
      <c r="AC59" s="43"/>
      <c r="AD59" s="43"/>
      <c r="AE59" s="66" t="s">
        <v>57</v>
      </c>
      <c r="AF59" s="43"/>
      <c r="AG59" s="43"/>
    </row>
    <row r="60">
      <c r="A60" s="38">
        <v>3.0</v>
      </c>
      <c r="B60" s="38" t="s">
        <v>49</v>
      </c>
      <c r="C60" s="38" t="s">
        <v>26</v>
      </c>
      <c r="D60" s="38" t="s">
        <v>27</v>
      </c>
      <c r="E60" s="40">
        <v>0.0</v>
      </c>
      <c r="F60" s="40">
        <v>0.3333333333333333</v>
      </c>
      <c r="G60" s="40">
        <v>0.3333333333333333</v>
      </c>
      <c r="H60" s="40">
        <v>0.0</v>
      </c>
      <c r="I60" s="40">
        <v>0.3333333333333333</v>
      </c>
      <c r="J60" s="40">
        <v>0.6666666666666666</v>
      </c>
      <c r="K60" s="40">
        <v>0.3333333333333333</v>
      </c>
      <c r="L60" s="40">
        <v>0.3333333333333333</v>
      </c>
      <c r="M60" s="40">
        <v>0.3333333333333333</v>
      </c>
      <c r="N60" s="40">
        <v>0.3333333333333333</v>
      </c>
      <c r="O60" s="40">
        <v>0.6666666666666666</v>
      </c>
      <c r="P60" s="40">
        <v>0.3333333333333333</v>
      </c>
      <c r="R60" s="38"/>
      <c r="S60" s="65"/>
      <c r="T60" s="65"/>
      <c r="U60" s="65"/>
      <c r="V60" s="64" t="s">
        <v>94</v>
      </c>
      <c r="W60" s="64" t="s">
        <v>95</v>
      </c>
      <c r="X60" s="64" t="s">
        <v>96</v>
      </c>
      <c r="Y60" s="64" t="s">
        <v>94</v>
      </c>
      <c r="Z60" s="64" t="s">
        <v>95</v>
      </c>
      <c r="AA60" s="64" t="s">
        <v>96</v>
      </c>
      <c r="AB60" s="64" t="s">
        <v>94</v>
      </c>
      <c r="AC60" s="64" t="s">
        <v>95</v>
      </c>
      <c r="AD60" s="64" t="s">
        <v>96</v>
      </c>
      <c r="AE60" s="64" t="s">
        <v>94</v>
      </c>
      <c r="AF60" s="64" t="s">
        <v>95</v>
      </c>
      <c r="AG60" s="64" t="s">
        <v>96</v>
      </c>
    </row>
    <row r="61">
      <c r="A61" s="38">
        <v>21.0</v>
      </c>
      <c r="B61" s="38" t="s">
        <v>49</v>
      </c>
      <c r="C61" s="38" t="s">
        <v>26</v>
      </c>
      <c r="D61" s="38" t="s">
        <v>32</v>
      </c>
      <c r="E61" s="40">
        <v>0.3333333333333333</v>
      </c>
      <c r="F61" s="40">
        <v>1.0</v>
      </c>
      <c r="G61" s="40">
        <v>0.6666666666666666</v>
      </c>
      <c r="H61" s="40">
        <v>0.3333333333333333</v>
      </c>
      <c r="I61" s="40">
        <v>0.6666666666666666</v>
      </c>
      <c r="J61" s="40">
        <v>0.6666666666666666</v>
      </c>
      <c r="K61" s="40">
        <v>0.6666666666666666</v>
      </c>
      <c r="L61" s="40">
        <v>1.0</v>
      </c>
      <c r="M61" s="40">
        <v>0.6666666666666666</v>
      </c>
      <c r="N61" s="40">
        <v>0.6666666666666666</v>
      </c>
      <c r="O61" s="40">
        <v>1.0</v>
      </c>
      <c r="P61" s="40">
        <v>0.6666666666666666</v>
      </c>
      <c r="R61" s="38"/>
      <c r="S61" s="64" t="s">
        <v>25</v>
      </c>
      <c r="T61" s="67" t="s">
        <v>26</v>
      </c>
      <c r="U61" s="67" t="s">
        <v>27</v>
      </c>
      <c r="V61" s="40">
        <v>0.3333333333333333</v>
      </c>
      <c r="W61" s="68">
        <v>0.6666666666666666</v>
      </c>
      <c r="X61" s="68">
        <v>0.6666666666666666</v>
      </c>
      <c r="Y61" s="68">
        <v>0.6666666666666666</v>
      </c>
      <c r="Z61" s="68">
        <v>0.6666666666666666</v>
      </c>
      <c r="AA61" s="68">
        <v>0.6666666666666666</v>
      </c>
      <c r="AB61" s="68">
        <v>0.6666666666666666</v>
      </c>
      <c r="AC61" s="68">
        <v>0.6666666666666666</v>
      </c>
      <c r="AD61" s="68">
        <v>0.6666666666666666</v>
      </c>
      <c r="AE61" s="68">
        <v>0.3333333333333333</v>
      </c>
      <c r="AF61" s="68">
        <v>0.6666666666666666</v>
      </c>
      <c r="AG61" s="68">
        <v>0.6666666666666666</v>
      </c>
    </row>
    <row r="62">
      <c r="A62" s="38">
        <v>22.0</v>
      </c>
      <c r="B62" s="38" t="s">
        <v>49</v>
      </c>
      <c r="C62" s="38" t="s">
        <v>26</v>
      </c>
      <c r="D62" s="38" t="s">
        <v>32</v>
      </c>
      <c r="E62" s="40">
        <v>0.3333333333333333</v>
      </c>
      <c r="F62" s="40">
        <v>0.6666666666666666</v>
      </c>
      <c r="G62" s="40">
        <v>1.0</v>
      </c>
      <c r="H62" s="40">
        <v>0.3333333333333333</v>
      </c>
      <c r="I62" s="40">
        <v>0.6666666666666666</v>
      </c>
      <c r="J62" s="40">
        <v>1.0</v>
      </c>
      <c r="K62" s="40">
        <v>0.3333333333333333</v>
      </c>
      <c r="L62" s="40">
        <v>0.6666666666666666</v>
      </c>
      <c r="M62" s="40">
        <v>1.0</v>
      </c>
      <c r="N62" s="40">
        <v>0.3333333333333333</v>
      </c>
      <c r="O62" s="40">
        <v>0.6666666666666666</v>
      </c>
      <c r="P62" s="40">
        <v>1.0</v>
      </c>
      <c r="R62" s="38"/>
      <c r="S62" s="64" t="s">
        <v>25</v>
      </c>
      <c r="T62" s="67" t="s">
        <v>26</v>
      </c>
      <c r="U62" s="64" t="s">
        <v>32</v>
      </c>
      <c r="V62" s="40">
        <v>1.0</v>
      </c>
      <c r="W62" s="68">
        <v>1.0</v>
      </c>
      <c r="X62" s="68">
        <v>0.6666666666666666</v>
      </c>
      <c r="Y62" s="68">
        <v>1.0</v>
      </c>
      <c r="Z62" s="68">
        <v>1.0</v>
      </c>
      <c r="AA62" s="68">
        <v>1.0</v>
      </c>
      <c r="AB62" s="68">
        <v>1.0</v>
      </c>
      <c r="AC62" s="68">
        <v>1.0</v>
      </c>
      <c r="AD62" s="68">
        <v>1.0</v>
      </c>
      <c r="AE62" s="68">
        <v>1.0</v>
      </c>
      <c r="AF62" s="68">
        <v>1.0</v>
      </c>
      <c r="AG62" s="68">
        <v>1.0</v>
      </c>
    </row>
    <row r="63">
      <c r="A63" s="38">
        <v>23.0</v>
      </c>
      <c r="B63" s="38" t="s">
        <v>49</v>
      </c>
      <c r="C63" s="38" t="s">
        <v>26</v>
      </c>
      <c r="D63" s="38" t="s">
        <v>32</v>
      </c>
      <c r="E63" s="40">
        <v>0.3333333333333333</v>
      </c>
      <c r="F63" s="40">
        <v>1.0</v>
      </c>
      <c r="G63" s="40">
        <v>1.0</v>
      </c>
      <c r="H63" s="40">
        <v>0.3333333333333333</v>
      </c>
      <c r="I63" s="40">
        <v>1.0</v>
      </c>
      <c r="J63" s="40">
        <v>1.0</v>
      </c>
      <c r="K63" s="40">
        <v>0.0</v>
      </c>
      <c r="L63" s="40">
        <v>0.3333333333333333</v>
      </c>
      <c r="M63" s="40">
        <v>1.0</v>
      </c>
      <c r="N63" s="40">
        <v>0.6666666666666666</v>
      </c>
      <c r="O63" s="40">
        <v>1.0</v>
      </c>
      <c r="P63" s="40">
        <v>0.6666666666666666</v>
      </c>
      <c r="R63" s="38"/>
      <c r="S63" s="64" t="s">
        <v>25</v>
      </c>
      <c r="T63" s="67" t="s">
        <v>26</v>
      </c>
      <c r="U63" s="64" t="s">
        <v>34</v>
      </c>
      <c r="V63" s="40">
        <v>0.0</v>
      </c>
      <c r="W63" s="68">
        <v>0.3333333333333333</v>
      </c>
      <c r="X63" s="68">
        <v>0.3333333333333333</v>
      </c>
      <c r="Y63" s="68">
        <v>0.0</v>
      </c>
      <c r="Z63" s="68">
        <v>0.0</v>
      </c>
      <c r="AA63" s="68">
        <v>0.6666666666666666</v>
      </c>
      <c r="AB63" s="68">
        <v>0.3333333333333333</v>
      </c>
      <c r="AC63" s="68">
        <v>0.3333333333333333</v>
      </c>
      <c r="AD63" s="68">
        <v>0.6666666666666666</v>
      </c>
      <c r="AE63" s="68">
        <v>0.0</v>
      </c>
      <c r="AF63" s="68">
        <v>0.3333333333333333</v>
      </c>
      <c r="AG63" s="68">
        <v>0.6666666666666666</v>
      </c>
    </row>
    <row r="64">
      <c r="A64" s="38">
        <v>41.0</v>
      </c>
      <c r="B64" s="38" t="s">
        <v>49</v>
      </c>
      <c r="C64" s="38" t="s">
        <v>26</v>
      </c>
      <c r="D64" s="38" t="s">
        <v>34</v>
      </c>
      <c r="E64" s="40">
        <v>0.0</v>
      </c>
      <c r="F64" s="40">
        <v>0.0</v>
      </c>
      <c r="G64" s="40">
        <v>0.0</v>
      </c>
      <c r="H64" s="40">
        <v>0.0</v>
      </c>
      <c r="I64" s="40">
        <v>0.0</v>
      </c>
      <c r="J64" s="40">
        <v>0.0</v>
      </c>
      <c r="K64" s="40">
        <v>0.3333333333333333</v>
      </c>
      <c r="L64" s="40">
        <v>0.3333333333333333</v>
      </c>
      <c r="M64" s="40">
        <v>0.3333333333333333</v>
      </c>
      <c r="N64" s="40">
        <v>0.3333333333333333</v>
      </c>
      <c r="O64" s="40">
        <v>0.3333333333333333</v>
      </c>
      <c r="P64" s="40">
        <v>0.6666666666666666</v>
      </c>
      <c r="R64" s="38"/>
      <c r="S64" s="64" t="s">
        <v>25</v>
      </c>
      <c r="T64" s="67" t="s">
        <v>26</v>
      </c>
      <c r="U64" s="64" t="s">
        <v>35</v>
      </c>
      <c r="V64" s="40">
        <v>0.0</v>
      </c>
      <c r="W64" s="68">
        <v>0.3333333333333333</v>
      </c>
      <c r="X64" s="68">
        <v>0.6666666666666666</v>
      </c>
      <c r="Y64" s="68">
        <v>0.3333333333333333</v>
      </c>
      <c r="Z64" s="68">
        <v>0.3333333333333333</v>
      </c>
      <c r="AA64" s="68">
        <v>0.6666666666666666</v>
      </c>
      <c r="AB64" s="68">
        <v>0.6666666666666666</v>
      </c>
      <c r="AC64" s="68">
        <v>0.3333333333333333</v>
      </c>
      <c r="AD64" s="68">
        <v>0.3333333333333333</v>
      </c>
      <c r="AE64" s="68">
        <v>0.6666666666666666</v>
      </c>
      <c r="AF64" s="68">
        <v>0.3333333333333333</v>
      </c>
      <c r="AG64" s="68">
        <v>0.6666666666666666</v>
      </c>
    </row>
    <row r="65">
      <c r="A65" s="38">
        <v>42.0</v>
      </c>
      <c r="B65" s="38" t="s">
        <v>49</v>
      </c>
      <c r="C65" s="38" t="s">
        <v>26</v>
      </c>
      <c r="D65" s="38" t="s">
        <v>34</v>
      </c>
      <c r="E65" s="40">
        <v>0.6666666666666666</v>
      </c>
      <c r="F65" s="40">
        <v>1.0</v>
      </c>
      <c r="G65" s="40">
        <v>0.6666666666666666</v>
      </c>
      <c r="H65" s="40">
        <v>0.6666666666666666</v>
      </c>
      <c r="I65" s="40">
        <v>1.0</v>
      </c>
      <c r="J65" s="40">
        <v>0.6666666666666666</v>
      </c>
      <c r="K65" s="40">
        <v>0.0</v>
      </c>
      <c r="L65" s="40">
        <v>0.3333333333333333</v>
      </c>
      <c r="M65" s="40">
        <v>0.6666666666666666</v>
      </c>
      <c r="N65" s="40">
        <v>0.0</v>
      </c>
      <c r="O65" s="40">
        <v>1.0</v>
      </c>
      <c r="P65" s="40">
        <v>0.6666666666666666</v>
      </c>
      <c r="R65" s="38"/>
      <c r="S65" s="64" t="s">
        <v>25</v>
      </c>
      <c r="T65" s="64" t="s">
        <v>36</v>
      </c>
      <c r="U65" s="64" t="s">
        <v>37</v>
      </c>
      <c r="V65" s="40">
        <v>0.0</v>
      </c>
      <c r="W65" s="68">
        <v>0.3333333333333333</v>
      </c>
      <c r="X65" s="68">
        <v>0.3333333333333333</v>
      </c>
      <c r="Y65" s="68">
        <v>0.0</v>
      </c>
      <c r="Z65" s="68">
        <v>0.3333333333333333</v>
      </c>
      <c r="AA65" s="68">
        <v>0.0</v>
      </c>
      <c r="AB65" s="68">
        <v>0.0</v>
      </c>
      <c r="AC65" s="68">
        <v>0.0</v>
      </c>
      <c r="AD65" s="68">
        <v>0.0</v>
      </c>
      <c r="AE65" s="68">
        <v>0.0</v>
      </c>
      <c r="AF65" s="68">
        <v>0.3333333333333333</v>
      </c>
      <c r="AG65" s="68">
        <v>0.3333333333333333</v>
      </c>
    </row>
    <row r="66">
      <c r="A66" s="38">
        <v>43.0</v>
      </c>
      <c r="B66" s="38" t="s">
        <v>49</v>
      </c>
      <c r="C66" s="38" t="s">
        <v>26</v>
      </c>
      <c r="D66" s="38" t="s">
        <v>34</v>
      </c>
      <c r="E66" s="40">
        <v>0.3333333333333333</v>
      </c>
      <c r="F66" s="40">
        <v>0.6666666666666666</v>
      </c>
      <c r="G66" s="40">
        <v>1.0</v>
      </c>
      <c r="H66" s="40">
        <v>0.3333333333333333</v>
      </c>
      <c r="I66" s="40">
        <v>0.6666666666666666</v>
      </c>
      <c r="J66" s="40">
        <v>0.6666666666666666</v>
      </c>
      <c r="K66" s="40">
        <v>0.3333333333333333</v>
      </c>
      <c r="L66" s="40">
        <v>1.0</v>
      </c>
      <c r="M66" s="40">
        <v>1.0</v>
      </c>
      <c r="N66" s="40">
        <v>0.3333333333333333</v>
      </c>
      <c r="O66" s="40">
        <v>0.3333333333333333</v>
      </c>
      <c r="P66" s="40">
        <v>0.6666666666666666</v>
      </c>
      <c r="R66" s="38"/>
      <c r="S66" s="64" t="s">
        <v>25</v>
      </c>
      <c r="T66" s="64" t="s">
        <v>36</v>
      </c>
      <c r="U66" s="64" t="s">
        <v>38</v>
      </c>
      <c r="V66" s="40">
        <v>0.0</v>
      </c>
      <c r="W66" s="68">
        <v>1.0</v>
      </c>
      <c r="X66" s="68">
        <v>0.6666666666666666</v>
      </c>
      <c r="Y66" s="68">
        <v>0.0</v>
      </c>
      <c r="Z66" s="68">
        <v>0.6666666666666666</v>
      </c>
      <c r="AA66" s="68">
        <v>0.3333333333333333</v>
      </c>
      <c r="AB66" s="68">
        <v>0.0</v>
      </c>
      <c r="AC66" s="68">
        <v>0.3333333333333333</v>
      </c>
      <c r="AD66" s="68">
        <v>0.3333333333333333</v>
      </c>
      <c r="AE66" s="68">
        <v>0.0</v>
      </c>
      <c r="AF66" s="68">
        <v>0.6666666666666666</v>
      </c>
      <c r="AG66" s="68">
        <v>0.6666666666666666</v>
      </c>
    </row>
    <row r="67">
      <c r="A67" s="38">
        <v>81.0</v>
      </c>
      <c r="B67" s="38" t="s">
        <v>49</v>
      </c>
      <c r="C67" s="38" t="s">
        <v>26</v>
      </c>
      <c r="D67" s="38" t="s">
        <v>50</v>
      </c>
      <c r="E67" s="40">
        <v>0.3333333333333333</v>
      </c>
      <c r="F67" s="40">
        <v>1.0</v>
      </c>
      <c r="G67" s="40">
        <v>1.0</v>
      </c>
      <c r="H67" s="40">
        <v>0.3333333333333333</v>
      </c>
      <c r="I67" s="40">
        <v>1.0</v>
      </c>
      <c r="J67" s="40">
        <v>1.0</v>
      </c>
      <c r="K67" s="40">
        <v>0.0</v>
      </c>
      <c r="L67" s="40">
        <v>0.6666666666666666</v>
      </c>
      <c r="M67" s="40">
        <v>1.0</v>
      </c>
      <c r="N67" s="40">
        <v>0.3333333333333333</v>
      </c>
      <c r="O67" s="40">
        <v>1.0</v>
      </c>
      <c r="P67" s="40">
        <v>0.6666666666666666</v>
      </c>
      <c r="R67" s="38"/>
      <c r="S67" s="64" t="s">
        <v>25</v>
      </c>
      <c r="T67" s="64" t="s">
        <v>36</v>
      </c>
      <c r="U67" s="64" t="s">
        <v>39</v>
      </c>
      <c r="V67" s="40">
        <v>0.0</v>
      </c>
      <c r="W67" s="68">
        <v>0.0</v>
      </c>
      <c r="X67" s="68">
        <v>0.6666666666666666</v>
      </c>
      <c r="Y67" s="68">
        <v>0.0</v>
      </c>
      <c r="Z67" s="68">
        <v>0.0</v>
      </c>
      <c r="AA67" s="68">
        <v>0.3333333333333333</v>
      </c>
      <c r="AB67" s="68">
        <v>0.0</v>
      </c>
      <c r="AC67" s="68">
        <v>0.6666666666666666</v>
      </c>
      <c r="AD67" s="68">
        <v>0.3333333333333333</v>
      </c>
      <c r="AE67" s="68">
        <v>0.0</v>
      </c>
      <c r="AF67" s="68">
        <v>0.3333333333333333</v>
      </c>
      <c r="AG67" s="68">
        <v>0.3333333333333333</v>
      </c>
    </row>
    <row r="68">
      <c r="A68" s="38">
        <v>82.0</v>
      </c>
      <c r="B68" s="38" t="s">
        <v>49</v>
      </c>
      <c r="C68" s="38" t="s">
        <v>26</v>
      </c>
      <c r="D68" s="38" t="s">
        <v>50</v>
      </c>
      <c r="E68" s="40">
        <v>0.0</v>
      </c>
      <c r="F68" s="40">
        <v>1.0</v>
      </c>
      <c r="G68" s="40">
        <v>1.0</v>
      </c>
      <c r="H68" s="40">
        <v>0.0</v>
      </c>
      <c r="I68" s="40">
        <v>1.0</v>
      </c>
      <c r="J68" s="40">
        <v>0.6666666666666666</v>
      </c>
      <c r="K68" s="40">
        <v>0.0</v>
      </c>
      <c r="L68" s="40">
        <v>0.0</v>
      </c>
      <c r="M68" s="40">
        <v>0.3333333333333333</v>
      </c>
      <c r="N68" s="40">
        <v>0.3333333333333333</v>
      </c>
      <c r="O68" s="40">
        <v>1.0</v>
      </c>
      <c r="P68" s="40">
        <v>1.0</v>
      </c>
      <c r="R68" s="38"/>
      <c r="S68" s="64" t="s">
        <v>25</v>
      </c>
      <c r="T68" s="64" t="s">
        <v>36</v>
      </c>
      <c r="U68" s="64" t="s">
        <v>40</v>
      </c>
      <c r="V68" s="40">
        <v>0.6666666666666666</v>
      </c>
      <c r="W68" s="68">
        <v>0.6666666666666666</v>
      </c>
      <c r="X68" s="68">
        <v>1.0</v>
      </c>
      <c r="Y68" s="68">
        <v>0.6666666666666666</v>
      </c>
      <c r="Z68" s="68">
        <v>0.6666666666666666</v>
      </c>
      <c r="AA68" s="68">
        <v>1.0</v>
      </c>
      <c r="AB68" s="68">
        <v>0.3333333333333333</v>
      </c>
      <c r="AC68" s="68">
        <v>0.6666666666666666</v>
      </c>
      <c r="AD68" s="68">
        <v>1.0</v>
      </c>
      <c r="AE68" s="68">
        <v>0.3333333333333333</v>
      </c>
      <c r="AF68" s="68">
        <v>0.6666666666666666</v>
      </c>
      <c r="AG68" s="68">
        <v>1.0</v>
      </c>
    </row>
    <row r="69">
      <c r="A69" s="38">
        <v>85.0</v>
      </c>
      <c r="B69" s="38" t="s">
        <v>49</v>
      </c>
      <c r="C69" s="38" t="s">
        <v>26</v>
      </c>
      <c r="D69" s="38" t="s">
        <v>50</v>
      </c>
      <c r="E69" s="40">
        <v>0.0</v>
      </c>
      <c r="F69" s="40">
        <v>0.6666666666666666</v>
      </c>
      <c r="G69" s="40">
        <v>0.6666666666666666</v>
      </c>
      <c r="H69" s="40">
        <v>0.0</v>
      </c>
      <c r="I69" s="40">
        <v>0.3333333333333333</v>
      </c>
      <c r="J69" s="40">
        <v>0.3333333333333333</v>
      </c>
      <c r="K69" s="40">
        <v>0.0</v>
      </c>
      <c r="L69" s="40">
        <v>0.6666666666666666</v>
      </c>
      <c r="M69" s="40">
        <v>0.3333333333333333</v>
      </c>
      <c r="N69" s="40">
        <v>0.0</v>
      </c>
      <c r="O69" s="40">
        <v>0.3333333333333333</v>
      </c>
      <c r="P69" s="40">
        <v>0.6666666666666666</v>
      </c>
      <c r="R69" s="38"/>
      <c r="S69" s="64" t="s">
        <v>25</v>
      </c>
      <c r="T69" s="64" t="s">
        <v>41</v>
      </c>
      <c r="U69" s="64" t="s">
        <v>42</v>
      </c>
      <c r="V69" s="40">
        <v>0.3333333333333333</v>
      </c>
      <c r="W69" s="68">
        <v>0.6666666666666666</v>
      </c>
      <c r="X69" s="68">
        <v>0.6666666666666666</v>
      </c>
      <c r="Y69" s="68">
        <v>0.3333333333333333</v>
      </c>
      <c r="Z69" s="68">
        <v>1.0</v>
      </c>
      <c r="AA69" s="68">
        <v>0.6666666666666666</v>
      </c>
      <c r="AB69" s="68">
        <v>1.0</v>
      </c>
      <c r="AC69" s="68">
        <v>1.0</v>
      </c>
      <c r="AD69" s="68">
        <v>1.0</v>
      </c>
      <c r="AE69" s="68">
        <v>0.3333333333333333</v>
      </c>
      <c r="AF69" s="68">
        <v>1.0</v>
      </c>
      <c r="AG69" s="68">
        <v>0.3333333333333333</v>
      </c>
    </row>
    <row r="70">
      <c r="A70" s="38">
        <v>91.0</v>
      </c>
      <c r="B70" s="38" t="s">
        <v>49</v>
      </c>
      <c r="C70" s="38" t="s">
        <v>36</v>
      </c>
      <c r="D70" s="38" t="s">
        <v>37</v>
      </c>
      <c r="E70" s="40">
        <v>0.0</v>
      </c>
      <c r="F70" s="40">
        <v>0.6666666666666666</v>
      </c>
      <c r="G70" s="40">
        <v>0.6666666666666666</v>
      </c>
      <c r="H70" s="40">
        <v>0.0</v>
      </c>
      <c r="I70" s="40">
        <v>0.0</v>
      </c>
      <c r="J70" s="40">
        <v>0.6666666666666666</v>
      </c>
      <c r="K70" s="40">
        <v>0.0</v>
      </c>
      <c r="L70" s="40">
        <v>0.0</v>
      </c>
      <c r="M70" s="40">
        <v>0.6666666666666666</v>
      </c>
      <c r="N70" s="40">
        <v>0.0</v>
      </c>
      <c r="O70" s="40">
        <v>0.3333333333333333</v>
      </c>
      <c r="P70" s="40">
        <v>0.6666666666666666</v>
      </c>
      <c r="R70" s="38"/>
      <c r="S70" s="64" t="s">
        <v>25</v>
      </c>
      <c r="T70" s="64" t="s">
        <v>41</v>
      </c>
      <c r="U70" s="64" t="s">
        <v>43</v>
      </c>
      <c r="V70" s="40">
        <v>0.0</v>
      </c>
      <c r="W70" s="68">
        <v>0.0</v>
      </c>
      <c r="X70" s="68">
        <v>0.3333333333333333</v>
      </c>
      <c r="Y70" s="68">
        <v>0.0</v>
      </c>
      <c r="Z70" s="68">
        <v>0.0</v>
      </c>
      <c r="AA70" s="68">
        <v>0.3333333333333333</v>
      </c>
      <c r="AB70" s="68">
        <v>0.0</v>
      </c>
      <c r="AC70" s="68">
        <v>0.0</v>
      </c>
      <c r="AD70" s="68">
        <v>0.3333333333333333</v>
      </c>
      <c r="AE70" s="68">
        <v>0.0</v>
      </c>
      <c r="AF70" s="68">
        <v>0.0</v>
      </c>
      <c r="AG70" s="68">
        <v>0.0</v>
      </c>
    </row>
    <row r="71">
      <c r="A71" s="38">
        <v>92.0</v>
      </c>
      <c r="B71" s="38" t="s">
        <v>49</v>
      </c>
      <c r="C71" s="38" t="s">
        <v>36</v>
      </c>
      <c r="D71" s="38" t="s">
        <v>37</v>
      </c>
      <c r="E71" s="40">
        <v>0.0</v>
      </c>
      <c r="F71" s="40">
        <v>0.3333333333333333</v>
      </c>
      <c r="G71" s="40">
        <v>0.6666666666666666</v>
      </c>
      <c r="H71" s="40">
        <v>0.0</v>
      </c>
      <c r="I71" s="40">
        <v>0.0</v>
      </c>
      <c r="J71" s="40">
        <v>1.0</v>
      </c>
      <c r="K71" s="40">
        <v>0.0</v>
      </c>
      <c r="L71" s="40">
        <v>0.0</v>
      </c>
      <c r="M71" s="40">
        <v>1.0</v>
      </c>
      <c r="N71" s="40">
        <v>0.0</v>
      </c>
      <c r="O71" s="40">
        <v>0.3333333333333333</v>
      </c>
      <c r="P71" s="40">
        <v>0.6666666666666666</v>
      </c>
      <c r="R71" s="38"/>
      <c r="S71" s="64" t="s">
        <v>25</v>
      </c>
      <c r="T71" s="64" t="s">
        <v>41</v>
      </c>
      <c r="U71" s="64" t="s">
        <v>44</v>
      </c>
      <c r="V71" s="40">
        <v>0.3333333333333333</v>
      </c>
      <c r="W71" s="68">
        <v>0.3333333333333333</v>
      </c>
      <c r="X71" s="68">
        <v>0.6666666666666666</v>
      </c>
      <c r="Y71" s="68">
        <v>0.3333333333333333</v>
      </c>
      <c r="Z71" s="68">
        <v>0.3333333333333333</v>
      </c>
      <c r="AA71" s="68">
        <v>1.0</v>
      </c>
      <c r="AB71" s="68">
        <v>0.3333333333333333</v>
      </c>
      <c r="AC71" s="68">
        <v>0.3333333333333333</v>
      </c>
      <c r="AD71" s="68">
        <v>0.3333333333333333</v>
      </c>
      <c r="AE71" s="68">
        <v>0.3333333333333333</v>
      </c>
      <c r="AF71" s="68">
        <v>0.3333333333333333</v>
      </c>
      <c r="AG71" s="68">
        <v>0.6666666666666666</v>
      </c>
    </row>
    <row r="72">
      <c r="A72" s="38">
        <v>93.0</v>
      </c>
      <c r="B72" s="38" t="s">
        <v>49</v>
      </c>
      <c r="C72" s="38" t="s">
        <v>36</v>
      </c>
      <c r="D72" s="38" t="s">
        <v>37</v>
      </c>
      <c r="E72" s="40">
        <v>0.0</v>
      </c>
      <c r="F72" s="40">
        <v>0.3333333333333333</v>
      </c>
      <c r="G72" s="40">
        <v>0.6666666666666666</v>
      </c>
      <c r="H72" s="40">
        <v>0.3333333333333333</v>
      </c>
      <c r="I72" s="40">
        <v>0.3333333333333333</v>
      </c>
      <c r="J72" s="40">
        <v>0.6666666666666666</v>
      </c>
      <c r="K72" s="40">
        <v>0.3333333333333333</v>
      </c>
      <c r="L72" s="40">
        <v>0.3333333333333333</v>
      </c>
      <c r="M72" s="40">
        <v>0.3333333333333333</v>
      </c>
      <c r="N72" s="40">
        <v>0.3333333333333333</v>
      </c>
      <c r="O72" s="40">
        <v>0.6666666666666666</v>
      </c>
      <c r="P72" s="40">
        <v>0.6666666666666666</v>
      </c>
      <c r="R72" s="38"/>
      <c r="S72" s="64" t="s">
        <v>25</v>
      </c>
      <c r="T72" s="64" t="s">
        <v>41</v>
      </c>
      <c r="U72" s="64" t="s">
        <v>45</v>
      </c>
      <c r="V72" s="40">
        <v>0.3333333333333333</v>
      </c>
      <c r="W72" s="68">
        <v>0.6666666666666666</v>
      </c>
      <c r="X72" s="68">
        <v>0.3333333333333333</v>
      </c>
      <c r="Y72" s="68">
        <v>0.3333333333333333</v>
      </c>
      <c r="Z72" s="68">
        <v>0.6666666666666666</v>
      </c>
      <c r="AA72" s="68">
        <v>0.0</v>
      </c>
      <c r="AB72" s="68">
        <v>0.3333333333333333</v>
      </c>
      <c r="AC72" s="68">
        <v>1.0</v>
      </c>
      <c r="AD72" s="68">
        <v>0.6666666666666666</v>
      </c>
      <c r="AE72" s="68">
        <v>0.0</v>
      </c>
      <c r="AF72" s="68">
        <v>1.0</v>
      </c>
      <c r="AG72" s="68">
        <v>0.3333333333333333</v>
      </c>
    </row>
    <row r="73">
      <c r="A73" s="38">
        <v>101.0</v>
      </c>
      <c r="B73" s="38" t="s">
        <v>49</v>
      </c>
      <c r="C73" s="38" t="s">
        <v>36</v>
      </c>
      <c r="D73" s="38" t="s">
        <v>38</v>
      </c>
      <c r="E73" s="40">
        <v>0.0</v>
      </c>
      <c r="F73" s="40">
        <v>0.6666666666666666</v>
      </c>
      <c r="G73" s="40">
        <v>0.6666666666666666</v>
      </c>
      <c r="H73" s="40">
        <v>0.0</v>
      </c>
      <c r="I73" s="40">
        <v>0.3333333333333333</v>
      </c>
      <c r="J73" s="40">
        <v>0.3333333333333333</v>
      </c>
      <c r="K73" s="40">
        <v>0.0</v>
      </c>
      <c r="L73" s="40">
        <v>1.0</v>
      </c>
      <c r="M73" s="40">
        <v>0.6666666666666666</v>
      </c>
      <c r="N73" s="40">
        <v>0.0</v>
      </c>
      <c r="O73" s="40">
        <v>0.3333333333333333</v>
      </c>
      <c r="P73" s="40">
        <v>0.6666666666666666</v>
      </c>
      <c r="R73" s="38"/>
      <c r="S73" s="64" t="s">
        <v>46</v>
      </c>
      <c r="T73" s="67" t="s">
        <v>26</v>
      </c>
      <c r="U73" s="67" t="s">
        <v>27</v>
      </c>
      <c r="V73" s="68">
        <f t="shared" ref="V73:V96" si="6">AVERAGE(OFFSET($E$22, (ROW()-73)*3, 0, 3, 1))</f>
        <v>0.2222222222</v>
      </c>
      <c r="W73" s="68">
        <f t="shared" ref="W73:W96" si="7">AVERAGE(OFFSET($F$22, (ROW()-73)*3, 0, 3, 1))</f>
        <v>0.5555555556</v>
      </c>
      <c r="X73" s="68">
        <f t="shared" ref="X73:X96" si="8">AVERAGE(OFFSET($G$22, (ROW()-73)*3, 0, 3, 1))</f>
        <v>0.5555555556</v>
      </c>
      <c r="Y73" s="68">
        <f t="shared" ref="Y73:Y96" si="9">AVERAGE(OFFSET($H$22, (ROW()-73)*3, 0, 3, 1))</f>
        <v>0.2222222222</v>
      </c>
      <c r="Z73" s="68">
        <f t="shared" ref="Z73:Z96" si="10">AVERAGE(OFFSET($I$22, (ROW()-73)*3, 0, 3, 1))</f>
        <v>0.5555555556</v>
      </c>
      <c r="AA73" s="68">
        <f t="shared" ref="AA73:AA96" si="11">AVERAGE(OFFSET($J$22, (ROW()-73)*3, 0, 3, 1))</f>
        <v>0.3333333333</v>
      </c>
      <c r="AB73" s="68">
        <f t="shared" ref="AB73:AB96" si="12">AVERAGE(OFFSET($K$22, (ROW()-73)*3, 0, 3, 1))</f>
        <v>0.3333333333</v>
      </c>
      <c r="AC73" s="68">
        <f t="shared" ref="AC73:AC96" si="13">AVERAGE(OFFSET($L$22, (ROW()-73)*3, 0, 3, 1))</f>
        <v>0.5555555556</v>
      </c>
      <c r="AD73" s="68">
        <f t="shared" ref="AD73:AD96" si="14">AVERAGE(OFFSET($M$22, (ROW()-73)*3, 0, 3, 1))</f>
        <v>0.6666666667</v>
      </c>
      <c r="AE73" s="68">
        <f t="shared" ref="AE73:AE96" si="15">AVERAGE(OFFSET($N$22, (ROW()-73)*3, 0, 3, 1))</f>
        <v>0.2222222222</v>
      </c>
      <c r="AF73" s="68">
        <f t="shared" ref="AF73:AF96" si="16">AVERAGE(OFFSET($O$22, (ROW()-73)*3, 0, 3, 1))</f>
        <v>0.6666666667</v>
      </c>
      <c r="AG73" s="68">
        <f t="shared" ref="AG73:AG96" si="17">AVERAGE(OFFSET($P$22, (ROW()-73)*3, 0, 3, 1))</f>
        <v>0.6666666667</v>
      </c>
    </row>
    <row r="74">
      <c r="A74" s="38">
        <v>103.0</v>
      </c>
      <c r="B74" s="38" t="s">
        <v>49</v>
      </c>
      <c r="C74" s="38" t="s">
        <v>36</v>
      </c>
      <c r="D74" s="38" t="s">
        <v>38</v>
      </c>
      <c r="E74" s="40">
        <v>0.0</v>
      </c>
      <c r="F74" s="40">
        <v>0.0</v>
      </c>
      <c r="G74" s="40">
        <v>0.6666666666666666</v>
      </c>
      <c r="H74" s="40">
        <v>0.0</v>
      </c>
      <c r="I74" s="40">
        <v>0.0</v>
      </c>
      <c r="J74" s="40">
        <v>1.0</v>
      </c>
      <c r="K74" s="40">
        <v>0.0</v>
      </c>
      <c r="L74" s="40">
        <v>0.0</v>
      </c>
      <c r="M74" s="40">
        <v>0.6666666666666666</v>
      </c>
      <c r="N74" s="40">
        <v>0.0</v>
      </c>
      <c r="O74" s="40">
        <v>0.0</v>
      </c>
      <c r="P74" s="40">
        <v>0.6666666666666666</v>
      </c>
      <c r="R74" s="38"/>
      <c r="S74" s="64" t="s">
        <v>46</v>
      </c>
      <c r="T74" s="67" t="s">
        <v>26</v>
      </c>
      <c r="U74" s="64" t="s">
        <v>32</v>
      </c>
      <c r="V74" s="68">
        <f t="shared" si="6"/>
        <v>0.4444444444</v>
      </c>
      <c r="W74" s="68">
        <f t="shared" si="7"/>
        <v>0.6666666667</v>
      </c>
      <c r="X74" s="68">
        <f t="shared" si="8"/>
        <v>0.7777777778</v>
      </c>
      <c r="Y74" s="68">
        <f t="shared" si="9"/>
        <v>0.4444444444</v>
      </c>
      <c r="Z74" s="68">
        <f t="shared" si="10"/>
        <v>0.5555555556</v>
      </c>
      <c r="AA74" s="68">
        <f t="shared" si="11"/>
        <v>0.7777777778</v>
      </c>
      <c r="AB74" s="68">
        <f t="shared" si="12"/>
        <v>0.1111111111</v>
      </c>
      <c r="AC74" s="68">
        <f t="shared" si="13"/>
        <v>0.7777777778</v>
      </c>
      <c r="AD74" s="68">
        <f t="shared" si="14"/>
        <v>0.8888888889</v>
      </c>
      <c r="AE74" s="68">
        <f t="shared" si="15"/>
        <v>0.2222222222</v>
      </c>
      <c r="AF74" s="68">
        <f t="shared" si="16"/>
        <v>0.5555555556</v>
      </c>
      <c r="AG74" s="68">
        <f t="shared" si="17"/>
        <v>0.6666666667</v>
      </c>
    </row>
    <row r="75">
      <c r="A75" s="38">
        <v>104.0</v>
      </c>
      <c r="B75" s="38" t="s">
        <v>49</v>
      </c>
      <c r="C75" s="38" t="s">
        <v>36</v>
      </c>
      <c r="D75" s="38" t="s">
        <v>38</v>
      </c>
      <c r="E75" s="40">
        <v>0.0</v>
      </c>
      <c r="F75" s="40">
        <v>0.0</v>
      </c>
      <c r="G75" s="40">
        <v>0.3333333333333333</v>
      </c>
      <c r="H75" s="40">
        <v>0.0</v>
      </c>
      <c r="I75" s="40">
        <v>0.0</v>
      </c>
      <c r="J75" s="40">
        <v>0.6666666666666666</v>
      </c>
      <c r="K75" s="40">
        <v>0.3333333333333333</v>
      </c>
      <c r="L75" s="40">
        <v>0.6666666666666666</v>
      </c>
      <c r="M75" s="40">
        <v>0.6666666666666666</v>
      </c>
      <c r="N75" s="40">
        <v>0.6666666666666666</v>
      </c>
      <c r="O75" s="40">
        <v>0.6666666666666666</v>
      </c>
      <c r="P75" s="40">
        <v>0.6666666666666666</v>
      </c>
      <c r="R75" s="38"/>
      <c r="S75" s="64" t="s">
        <v>46</v>
      </c>
      <c r="T75" s="67" t="s">
        <v>26</v>
      </c>
      <c r="U75" s="64" t="s">
        <v>34</v>
      </c>
      <c r="V75" s="68">
        <f t="shared" si="6"/>
        <v>0.1111111111</v>
      </c>
      <c r="W75" s="68">
        <f t="shared" si="7"/>
        <v>0.5555555556</v>
      </c>
      <c r="X75" s="68">
        <f t="shared" si="8"/>
        <v>0.5555555556</v>
      </c>
      <c r="Y75" s="68">
        <f t="shared" si="9"/>
        <v>0.2222222222</v>
      </c>
      <c r="Z75" s="68">
        <f t="shared" si="10"/>
        <v>0.5555555556</v>
      </c>
      <c r="AA75" s="68">
        <f t="shared" si="11"/>
        <v>0.6666666667</v>
      </c>
      <c r="AB75" s="68">
        <f t="shared" si="12"/>
        <v>0.2222222222</v>
      </c>
      <c r="AC75" s="68">
        <f t="shared" si="13"/>
        <v>0.7777777778</v>
      </c>
      <c r="AD75" s="68">
        <f t="shared" si="14"/>
        <v>0.6666666667</v>
      </c>
      <c r="AE75" s="68">
        <f t="shared" si="15"/>
        <v>0.2222222222</v>
      </c>
      <c r="AF75" s="68">
        <f t="shared" si="16"/>
        <v>0.6666666667</v>
      </c>
      <c r="AG75" s="68">
        <f t="shared" si="17"/>
        <v>0.7777777778</v>
      </c>
    </row>
    <row r="76">
      <c r="A76" s="38">
        <v>111.0</v>
      </c>
      <c r="B76" s="38" t="s">
        <v>49</v>
      </c>
      <c r="C76" s="38" t="s">
        <v>36</v>
      </c>
      <c r="D76" s="38" t="s">
        <v>47</v>
      </c>
      <c r="E76" s="40">
        <v>0.0</v>
      </c>
      <c r="F76" s="40">
        <v>0.3333333333333333</v>
      </c>
      <c r="G76" s="40">
        <v>0.6666666666666666</v>
      </c>
      <c r="H76" s="40">
        <v>0.0</v>
      </c>
      <c r="I76" s="40">
        <v>0.3333333333333333</v>
      </c>
      <c r="J76" s="40">
        <v>0.6666666666666666</v>
      </c>
      <c r="K76" s="40">
        <v>0.0</v>
      </c>
      <c r="L76" s="40">
        <v>0.6666666666666666</v>
      </c>
      <c r="M76" s="40">
        <v>1.0</v>
      </c>
      <c r="N76" s="40">
        <v>0.3333333333333333</v>
      </c>
      <c r="O76" s="40">
        <v>0.6666666666666666</v>
      </c>
      <c r="P76" s="40">
        <v>1.0</v>
      </c>
      <c r="R76" s="38"/>
      <c r="S76" s="64" t="s">
        <v>46</v>
      </c>
      <c r="T76" s="67" t="s">
        <v>26</v>
      </c>
      <c r="U76" s="64" t="s">
        <v>35</v>
      </c>
      <c r="V76" s="68">
        <f t="shared" si="6"/>
        <v>0.2222222222</v>
      </c>
      <c r="W76" s="68">
        <f t="shared" si="7"/>
        <v>0.4444444444</v>
      </c>
      <c r="X76" s="68">
        <f t="shared" si="8"/>
        <v>0.5555555556</v>
      </c>
      <c r="Y76" s="68">
        <f t="shared" si="9"/>
        <v>0.2222222222</v>
      </c>
      <c r="Z76" s="68">
        <f t="shared" si="10"/>
        <v>0.3333333333</v>
      </c>
      <c r="AA76" s="68">
        <f t="shared" si="11"/>
        <v>0.3333333333</v>
      </c>
      <c r="AB76" s="68">
        <f t="shared" si="12"/>
        <v>0.4444444444</v>
      </c>
      <c r="AC76" s="68">
        <f t="shared" si="13"/>
        <v>0.5555555556</v>
      </c>
      <c r="AD76" s="68">
        <f t="shared" si="14"/>
        <v>0.4444444444</v>
      </c>
      <c r="AE76" s="68">
        <f t="shared" si="15"/>
        <v>0.2222222222</v>
      </c>
      <c r="AF76" s="68">
        <f t="shared" si="16"/>
        <v>0.3333333333</v>
      </c>
      <c r="AG76" s="68">
        <f t="shared" si="17"/>
        <v>0.4444444444</v>
      </c>
    </row>
    <row r="77">
      <c r="A77" s="38">
        <v>112.0</v>
      </c>
      <c r="B77" s="38" t="s">
        <v>49</v>
      </c>
      <c r="C77" s="38" t="s">
        <v>36</v>
      </c>
      <c r="D77" s="38" t="s">
        <v>47</v>
      </c>
      <c r="E77" s="40">
        <v>0.0</v>
      </c>
      <c r="F77" s="40">
        <v>0.6666666666666666</v>
      </c>
      <c r="G77" s="40">
        <v>1.0</v>
      </c>
      <c r="H77" s="40">
        <v>0.0</v>
      </c>
      <c r="I77" s="40">
        <v>0.6666666666666666</v>
      </c>
      <c r="J77" s="40">
        <v>1.0</v>
      </c>
      <c r="K77" s="40">
        <v>0.3333333333333333</v>
      </c>
      <c r="L77" s="40">
        <v>0.6666666666666666</v>
      </c>
      <c r="M77" s="40">
        <v>0.6666666666666666</v>
      </c>
      <c r="N77" s="40">
        <v>0.0</v>
      </c>
      <c r="O77" s="40">
        <v>0.6666666666666666</v>
      </c>
      <c r="P77" s="40">
        <v>0.6666666666666666</v>
      </c>
      <c r="R77" s="38"/>
      <c r="S77" s="64" t="s">
        <v>46</v>
      </c>
      <c r="T77" s="64" t="s">
        <v>36</v>
      </c>
      <c r="U77" s="64" t="s">
        <v>37</v>
      </c>
      <c r="V77" s="68">
        <f t="shared" si="6"/>
        <v>0</v>
      </c>
      <c r="W77" s="68">
        <f t="shared" si="7"/>
        <v>0.6666666667</v>
      </c>
      <c r="X77" s="68">
        <f t="shared" si="8"/>
        <v>0.6666666667</v>
      </c>
      <c r="Y77" s="68">
        <f t="shared" si="9"/>
        <v>0</v>
      </c>
      <c r="Z77" s="68">
        <f t="shared" si="10"/>
        <v>0.5555555556</v>
      </c>
      <c r="AA77" s="68">
        <f t="shared" si="11"/>
        <v>0.6666666667</v>
      </c>
      <c r="AB77" s="68">
        <f t="shared" si="12"/>
        <v>0.1111111111</v>
      </c>
      <c r="AC77" s="68">
        <f t="shared" si="13"/>
        <v>0.6666666667</v>
      </c>
      <c r="AD77" s="68">
        <f t="shared" si="14"/>
        <v>0.6666666667</v>
      </c>
      <c r="AE77" s="68">
        <f t="shared" si="15"/>
        <v>0</v>
      </c>
      <c r="AF77" s="68">
        <f t="shared" si="16"/>
        <v>0.4444444444</v>
      </c>
      <c r="AG77" s="68">
        <f t="shared" si="17"/>
        <v>0.7777777778</v>
      </c>
    </row>
    <row r="78">
      <c r="A78" s="38">
        <v>113.0</v>
      </c>
      <c r="B78" s="38" t="s">
        <v>49</v>
      </c>
      <c r="C78" s="38" t="s">
        <v>36</v>
      </c>
      <c r="D78" s="38" t="s">
        <v>47</v>
      </c>
      <c r="E78" s="40">
        <v>0.0</v>
      </c>
      <c r="F78" s="40">
        <v>0.3333333333333333</v>
      </c>
      <c r="G78" s="40">
        <v>0.6666666666666666</v>
      </c>
      <c r="H78" s="40">
        <v>0.0</v>
      </c>
      <c r="I78" s="40">
        <v>0.6666666666666666</v>
      </c>
      <c r="J78" s="40">
        <v>0.3333333333333333</v>
      </c>
      <c r="K78" s="40">
        <v>0.0</v>
      </c>
      <c r="L78" s="40">
        <v>0.6666666666666666</v>
      </c>
      <c r="M78" s="40">
        <v>0.6666666666666666</v>
      </c>
      <c r="N78" s="40">
        <v>0.3333333333333333</v>
      </c>
      <c r="O78" s="40">
        <v>0.3333333333333333</v>
      </c>
      <c r="P78" s="40">
        <v>0.6666666666666666</v>
      </c>
      <c r="R78" s="38"/>
      <c r="S78" s="64" t="s">
        <v>46</v>
      </c>
      <c r="T78" s="64" t="s">
        <v>36</v>
      </c>
      <c r="U78" s="64" t="s">
        <v>38</v>
      </c>
      <c r="V78" s="68">
        <f t="shared" si="6"/>
        <v>0.4444444444</v>
      </c>
      <c r="W78" s="68">
        <f t="shared" si="7"/>
        <v>0.6666666667</v>
      </c>
      <c r="X78" s="68">
        <f t="shared" si="8"/>
        <v>0.6666666667</v>
      </c>
      <c r="Y78" s="68">
        <f t="shared" si="9"/>
        <v>0.4444444444</v>
      </c>
      <c r="Z78" s="68">
        <f t="shared" si="10"/>
        <v>0.6666666667</v>
      </c>
      <c r="AA78" s="68">
        <f t="shared" si="11"/>
        <v>0.6666666667</v>
      </c>
      <c r="AB78" s="68">
        <f t="shared" si="12"/>
        <v>0.3333333333</v>
      </c>
      <c r="AC78" s="68">
        <f t="shared" si="13"/>
        <v>0.5555555556</v>
      </c>
      <c r="AD78" s="68">
        <f t="shared" si="14"/>
        <v>0.7777777778</v>
      </c>
      <c r="AE78" s="68">
        <f t="shared" si="15"/>
        <v>0.3333333333</v>
      </c>
      <c r="AF78" s="68">
        <f t="shared" si="16"/>
        <v>0.7777777778</v>
      </c>
      <c r="AG78" s="68">
        <f t="shared" si="17"/>
        <v>0.7777777778</v>
      </c>
    </row>
    <row r="79">
      <c r="A79" s="38">
        <v>121.0</v>
      </c>
      <c r="B79" s="38" t="s">
        <v>49</v>
      </c>
      <c r="C79" s="38" t="s">
        <v>36</v>
      </c>
      <c r="D79" s="38" t="s">
        <v>51</v>
      </c>
      <c r="E79" s="40">
        <v>0.0</v>
      </c>
      <c r="F79" s="40">
        <v>1.0</v>
      </c>
      <c r="G79" s="40">
        <v>1.0</v>
      </c>
      <c r="H79" s="40">
        <v>0.0</v>
      </c>
      <c r="I79" s="40">
        <v>1.0</v>
      </c>
      <c r="J79" s="40">
        <v>0.6666666666666666</v>
      </c>
      <c r="K79" s="40">
        <v>0.3333333333333333</v>
      </c>
      <c r="L79" s="40">
        <v>1.0</v>
      </c>
      <c r="M79" s="40">
        <v>1.0</v>
      </c>
      <c r="N79" s="40">
        <v>0.3333333333333333</v>
      </c>
      <c r="O79" s="40">
        <v>1.0</v>
      </c>
      <c r="P79" s="40">
        <v>1.0</v>
      </c>
      <c r="R79" s="38"/>
      <c r="S79" s="64" t="s">
        <v>46</v>
      </c>
      <c r="T79" s="64" t="s">
        <v>36</v>
      </c>
      <c r="U79" s="64" t="s">
        <v>39</v>
      </c>
      <c r="V79" s="68">
        <f t="shared" si="6"/>
        <v>0.4444444444</v>
      </c>
      <c r="W79" s="68">
        <f t="shared" si="7"/>
        <v>0.8888888889</v>
      </c>
      <c r="X79" s="68">
        <f t="shared" si="8"/>
        <v>0.6666666667</v>
      </c>
      <c r="Y79" s="68">
        <f t="shared" si="9"/>
        <v>0.4444444444</v>
      </c>
      <c r="Z79" s="68">
        <f t="shared" si="10"/>
        <v>0.8888888889</v>
      </c>
      <c r="AA79" s="68">
        <f t="shared" si="11"/>
        <v>0.7777777778</v>
      </c>
      <c r="AB79" s="68">
        <f t="shared" si="12"/>
        <v>0.6666666667</v>
      </c>
      <c r="AC79" s="68">
        <f t="shared" si="13"/>
        <v>0.8888888889</v>
      </c>
      <c r="AD79" s="68">
        <f t="shared" si="14"/>
        <v>0.7777777778</v>
      </c>
      <c r="AE79" s="68">
        <f t="shared" si="15"/>
        <v>0.6666666667</v>
      </c>
      <c r="AF79" s="68">
        <f t="shared" si="16"/>
        <v>0.8888888889</v>
      </c>
      <c r="AG79" s="68">
        <f t="shared" si="17"/>
        <v>0.6666666667</v>
      </c>
    </row>
    <row r="80">
      <c r="A80" s="38">
        <v>122.0</v>
      </c>
      <c r="B80" s="38" t="s">
        <v>49</v>
      </c>
      <c r="C80" s="38" t="s">
        <v>36</v>
      </c>
      <c r="D80" s="38" t="s">
        <v>51</v>
      </c>
      <c r="E80" s="40">
        <v>0.0</v>
      </c>
      <c r="F80" s="40">
        <v>0.3333333333333333</v>
      </c>
      <c r="G80" s="40">
        <v>0.6666666666666666</v>
      </c>
      <c r="H80" s="40">
        <v>0.0</v>
      </c>
      <c r="I80" s="40">
        <v>0.6666666666666666</v>
      </c>
      <c r="J80" s="40">
        <v>0.6666666666666666</v>
      </c>
      <c r="K80" s="40">
        <v>0.0</v>
      </c>
      <c r="L80" s="40">
        <v>0.6666666666666666</v>
      </c>
      <c r="M80" s="40">
        <v>0.6666666666666666</v>
      </c>
      <c r="N80" s="40">
        <v>0.0</v>
      </c>
      <c r="O80" s="40">
        <v>0.6666666666666666</v>
      </c>
      <c r="P80" s="40">
        <v>0.6666666666666666</v>
      </c>
      <c r="R80" s="38"/>
      <c r="S80" s="64" t="s">
        <v>46</v>
      </c>
      <c r="T80" s="64" t="s">
        <v>36</v>
      </c>
      <c r="U80" s="64" t="s">
        <v>40</v>
      </c>
      <c r="V80" s="68">
        <f t="shared" si="6"/>
        <v>0.2222222222</v>
      </c>
      <c r="W80" s="68">
        <f t="shared" si="7"/>
        <v>0.5555555556</v>
      </c>
      <c r="X80" s="68">
        <f t="shared" si="8"/>
        <v>0.7777777778</v>
      </c>
      <c r="Y80" s="68">
        <f t="shared" si="9"/>
        <v>0.2222222222</v>
      </c>
      <c r="Z80" s="68">
        <f t="shared" si="10"/>
        <v>0.5555555556</v>
      </c>
      <c r="AA80" s="68">
        <f t="shared" si="11"/>
        <v>0.7777777778</v>
      </c>
      <c r="AB80" s="68">
        <f t="shared" si="12"/>
        <v>0.4444444444</v>
      </c>
      <c r="AC80" s="68">
        <f t="shared" si="13"/>
        <v>0.6666666667</v>
      </c>
      <c r="AD80" s="68">
        <f t="shared" si="14"/>
        <v>0.7777777778</v>
      </c>
      <c r="AE80" s="68">
        <f t="shared" si="15"/>
        <v>0.3333333333</v>
      </c>
      <c r="AF80" s="68">
        <f t="shared" si="16"/>
        <v>0.4444444444</v>
      </c>
      <c r="AG80" s="68">
        <f t="shared" si="17"/>
        <v>0.7777777778</v>
      </c>
    </row>
    <row r="81">
      <c r="A81" s="38">
        <v>123.0</v>
      </c>
      <c r="B81" s="38" t="s">
        <v>49</v>
      </c>
      <c r="C81" s="38" t="s">
        <v>36</v>
      </c>
      <c r="D81" s="38" t="s">
        <v>51</v>
      </c>
      <c r="E81" s="40">
        <v>0.0</v>
      </c>
      <c r="F81" s="40">
        <v>0.3333333333333333</v>
      </c>
      <c r="G81" s="40">
        <v>0.6666666666666666</v>
      </c>
      <c r="H81" s="40">
        <v>0.0</v>
      </c>
      <c r="I81" s="40">
        <v>0.3333333333333333</v>
      </c>
      <c r="J81" s="40">
        <v>0.6666666666666666</v>
      </c>
      <c r="K81" s="40">
        <v>0.3333333333333333</v>
      </c>
      <c r="L81" s="40">
        <v>0.3333333333333333</v>
      </c>
      <c r="M81" s="40">
        <v>0.6666666666666666</v>
      </c>
      <c r="N81" s="40">
        <v>0.0</v>
      </c>
      <c r="O81" s="40">
        <v>0.3333333333333333</v>
      </c>
      <c r="P81" s="40">
        <v>0.6666666666666666</v>
      </c>
      <c r="R81" s="38"/>
      <c r="S81" s="64" t="s">
        <v>46</v>
      </c>
      <c r="T81" s="64" t="s">
        <v>41</v>
      </c>
      <c r="U81" s="64" t="s">
        <v>42</v>
      </c>
      <c r="V81" s="68">
        <f t="shared" si="6"/>
        <v>0.3333333333</v>
      </c>
      <c r="W81" s="68">
        <f t="shared" si="7"/>
        <v>0.7777777778</v>
      </c>
      <c r="X81" s="68">
        <f t="shared" si="8"/>
        <v>0.5555555556</v>
      </c>
      <c r="Y81" s="68">
        <f t="shared" si="9"/>
        <v>0.3333333333</v>
      </c>
      <c r="Z81" s="68">
        <f t="shared" si="10"/>
        <v>0.7777777778</v>
      </c>
      <c r="AA81" s="68">
        <f t="shared" si="11"/>
        <v>0.6666666667</v>
      </c>
      <c r="AB81" s="68">
        <f t="shared" si="12"/>
        <v>0.4444444444</v>
      </c>
      <c r="AC81" s="68">
        <f t="shared" si="13"/>
        <v>0.4444444444</v>
      </c>
      <c r="AD81" s="68">
        <f t="shared" si="14"/>
        <v>0.5555555556</v>
      </c>
      <c r="AE81" s="68">
        <f t="shared" si="15"/>
        <v>0.2222222222</v>
      </c>
      <c r="AF81" s="68">
        <f t="shared" si="16"/>
        <v>0.6666666667</v>
      </c>
      <c r="AG81" s="68">
        <f t="shared" si="17"/>
        <v>0.7777777778</v>
      </c>
    </row>
    <row r="82">
      <c r="A82" s="38">
        <v>221.0</v>
      </c>
      <c r="B82" s="38" t="s">
        <v>49</v>
      </c>
      <c r="C82" s="38" t="s">
        <v>41</v>
      </c>
      <c r="D82" s="38" t="s">
        <v>42</v>
      </c>
      <c r="E82" s="40">
        <v>0.0</v>
      </c>
      <c r="F82" s="40">
        <v>0.0</v>
      </c>
      <c r="G82" s="40">
        <v>0.3333333333333333</v>
      </c>
      <c r="H82" s="40">
        <v>0.0</v>
      </c>
      <c r="I82" s="40">
        <v>0.0</v>
      </c>
      <c r="J82" s="40">
        <v>0.3333333333333333</v>
      </c>
      <c r="K82" s="40">
        <v>0.0</v>
      </c>
      <c r="L82" s="40">
        <v>0.0</v>
      </c>
      <c r="M82" s="40">
        <v>0.3333333333333333</v>
      </c>
      <c r="N82" s="40">
        <v>0.3333333333333333</v>
      </c>
      <c r="O82" s="40">
        <v>0.6666666666666666</v>
      </c>
      <c r="P82" s="40">
        <v>0.3333333333333333</v>
      </c>
      <c r="R82" s="38"/>
      <c r="S82" s="64" t="s">
        <v>46</v>
      </c>
      <c r="T82" s="64" t="s">
        <v>41</v>
      </c>
      <c r="U82" s="64" t="s">
        <v>43</v>
      </c>
      <c r="V82" s="68">
        <f t="shared" si="6"/>
        <v>0.3333333333</v>
      </c>
      <c r="W82" s="68">
        <f t="shared" si="7"/>
        <v>0.4444444444</v>
      </c>
      <c r="X82" s="68">
        <f t="shared" si="8"/>
        <v>0.6666666667</v>
      </c>
      <c r="Y82" s="68">
        <f t="shared" si="9"/>
        <v>0.3333333333</v>
      </c>
      <c r="Z82" s="68">
        <f t="shared" si="10"/>
        <v>0.4444444444</v>
      </c>
      <c r="AA82" s="68">
        <f t="shared" si="11"/>
        <v>0.6666666667</v>
      </c>
      <c r="AB82" s="68">
        <f t="shared" si="12"/>
        <v>0.3333333333</v>
      </c>
      <c r="AC82" s="68">
        <f t="shared" si="13"/>
        <v>0.6666666667</v>
      </c>
      <c r="AD82" s="68">
        <f t="shared" si="14"/>
        <v>0.5555555556</v>
      </c>
      <c r="AE82" s="68">
        <f t="shared" si="15"/>
        <v>0.2222222222</v>
      </c>
      <c r="AF82" s="68">
        <f t="shared" si="16"/>
        <v>0.4444444444</v>
      </c>
      <c r="AG82" s="68">
        <f t="shared" si="17"/>
        <v>0.1111111111</v>
      </c>
    </row>
    <row r="83">
      <c r="A83" s="38">
        <v>222.0</v>
      </c>
      <c r="B83" s="38" t="s">
        <v>49</v>
      </c>
      <c r="C83" s="38" t="s">
        <v>41</v>
      </c>
      <c r="D83" s="38" t="s">
        <v>42</v>
      </c>
      <c r="E83" s="40">
        <v>0.3333333333333333</v>
      </c>
      <c r="F83" s="40">
        <v>0.3333333333333333</v>
      </c>
      <c r="G83" s="40">
        <v>0.6666666666666666</v>
      </c>
      <c r="H83" s="40">
        <v>0.0</v>
      </c>
      <c r="I83" s="40">
        <v>0.3333333333333333</v>
      </c>
      <c r="J83" s="40">
        <v>0.6666666666666666</v>
      </c>
      <c r="K83" s="40">
        <v>0.0</v>
      </c>
      <c r="L83" s="40">
        <v>0.3333333333333333</v>
      </c>
      <c r="M83" s="40">
        <v>0.6666666666666666</v>
      </c>
      <c r="N83" s="40">
        <v>0.3333333333333333</v>
      </c>
      <c r="O83" s="40">
        <v>0.3333333333333333</v>
      </c>
      <c r="P83" s="40">
        <v>0.6666666666666666</v>
      </c>
      <c r="R83" s="38"/>
      <c r="S83" s="64" t="s">
        <v>46</v>
      </c>
      <c r="T83" s="64" t="s">
        <v>41</v>
      </c>
      <c r="U83" s="64" t="s">
        <v>44</v>
      </c>
      <c r="V83" s="68">
        <f t="shared" si="6"/>
        <v>0</v>
      </c>
      <c r="W83" s="68">
        <f t="shared" si="7"/>
        <v>0.2222222222</v>
      </c>
      <c r="X83" s="68">
        <f t="shared" si="8"/>
        <v>0.6666666667</v>
      </c>
      <c r="Y83" s="68">
        <f t="shared" si="9"/>
        <v>0</v>
      </c>
      <c r="Z83" s="68">
        <f t="shared" si="10"/>
        <v>0.1111111111</v>
      </c>
      <c r="AA83" s="68">
        <f t="shared" si="11"/>
        <v>0.2222222222</v>
      </c>
      <c r="AB83" s="68">
        <f t="shared" si="12"/>
        <v>0.1111111111</v>
      </c>
      <c r="AC83" s="68">
        <f t="shared" si="13"/>
        <v>0.2222222222</v>
      </c>
      <c r="AD83" s="68">
        <f t="shared" si="14"/>
        <v>0.3333333333</v>
      </c>
      <c r="AE83" s="68">
        <f t="shared" si="15"/>
        <v>0.2222222222</v>
      </c>
      <c r="AF83" s="68">
        <f t="shared" si="16"/>
        <v>0.3333333333</v>
      </c>
      <c r="AG83" s="68">
        <f t="shared" si="17"/>
        <v>0.3333333333</v>
      </c>
    </row>
    <row r="84">
      <c r="A84" s="38">
        <v>223.0</v>
      </c>
      <c r="B84" s="38" t="s">
        <v>49</v>
      </c>
      <c r="C84" s="38" t="s">
        <v>41</v>
      </c>
      <c r="D84" s="38" t="s">
        <v>42</v>
      </c>
      <c r="E84" s="40">
        <v>0.6666666666666666</v>
      </c>
      <c r="F84" s="40">
        <v>1.0</v>
      </c>
      <c r="G84" s="40">
        <v>1.0</v>
      </c>
      <c r="H84" s="40">
        <v>0.6666666666666666</v>
      </c>
      <c r="I84" s="40">
        <v>1.0</v>
      </c>
      <c r="J84" s="40">
        <v>1.0</v>
      </c>
      <c r="K84" s="40">
        <v>0.0</v>
      </c>
      <c r="L84" s="40">
        <v>0.3333333333333333</v>
      </c>
      <c r="M84" s="40">
        <v>1.0</v>
      </c>
      <c r="N84" s="40">
        <v>0.3333333333333333</v>
      </c>
      <c r="O84" s="40">
        <v>0.6666666666666666</v>
      </c>
      <c r="P84" s="40">
        <v>1.0</v>
      </c>
      <c r="R84" s="38"/>
      <c r="S84" s="64" t="s">
        <v>46</v>
      </c>
      <c r="T84" s="64" t="s">
        <v>41</v>
      </c>
      <c r="U84" s="64" t="s">
        <v>45</v>
      </c>
      <c r="V84" s="68">
        <f t="shared" si="6"/>
        <v>0.1111111111</v>
      </c>
      <c r="W84" s="68">
        <f t="shared" si="7"/>
        <v>0.6666666667</v>
      </c>
      <c r="X84" s="68">
        <f t="shared" si="8"/>
        <v>0.4444444444</v>
      </c>
      <c r="Y84" s="68">
        <f t="shared" si="9"/>
        <v>0.1111111111</v>
      </c>
      <c r="Z84" s="68">
        <f t="shared" si="10"/>
        <v>0.5555555556</v>
      </c>
      <c r="AA84" s="68">
        <f t="shared" si="11"/>
        <v>0.3333333333</v>
      </c>
      <c r="AB84" s="68">
        <f t="shared" si="12"/>
        <v>0.3333333333</v>
      </c>
      <c r="AC84" s="68">
        <f t="shared" si="13"/>
        <v>0.5555555556</v>
      </c>
      <c r="AD84" s="68">
        <f t="shared" si="14"/>
        <v>0.4444444444</v>
      </c>
      <c r="AE84" s="68">
        <f t="shared" si="15"/>
        <v>0.2222222222</v>
      </c>
      <c r="AF84" s="68">
        <f t="shared" si="16"/>
        <v>0.4444444444</v>
      </c>
      <c r="AG84" s="68">
        <f t="shared" si="17"/>
        <v>0.5555555556</v>
      </c>
    </row>
    <row r="85">
      <c r="A85" s="38">
        <v>231.0</v>
      </c>
      <c r="B85" s="38" t="s">
        <v>49</v>
      </c>
      <c r="C85" s="38" t="s">
        <v>41</v>
      </c>
      <c r="D85" s="38" t="s">
        <v>43</v>
      </c>
      <c r="E85" s="40">
        <v>0.3333333333333333</v>
      </c>
      <c r="F85" s="40">
        <v>0.6666666666666666</v>
      </c>
      <c r="G85" s="40">
        <v>0.6666666666666666</v>
      </c>
      <c r="H85" s="40">
        <v>0.3333333333333333</v>
      </c>
      <c r="I85" s="40">
        <v>0.6666666666666666</v>
      </c>
      <c r="J85" s="40">
        <v>0.6666666666666666</v>
      </c>
      <c r="K85" s="40">
        <v>0.0</v>
      </c>
      <c r="L85" s="40">
        <v>0.3333333333333333</v>
      </c>
      <c r="M85" s="40">
        <v>1.0</v>
      </c>
      <c r="N85" s="40">
        <v>0.3333333333333333</v>
      </c>
      <c r="O85" s="40">
        <v>0.3333333333333333</v>
      </c>
      <c r="P85" s="40">
        <v>0.3333333333333333</v>
      </c>
      <c r="R85" s="38"/>
      <c r="S85" s="64" t="s">
        <v>49</v>
      </c>
      <c r="T85" s="67" t="s">
        <v>26</v>
      </c>
      <c r="U85" s="67" t="s">
        <v>27</v>
      </c>
      <c r="V85" s="68">
        <f t="shared" si="6"/>
        <v>0.1111111111</v>
      </c>
      <c r="W85" s="68">
        <f t="shared" si="7"/>
        <v>0.5555555556</v>
      </c>
      <c r="X85" s="68">
        <f t="shared" si="8"/>
        <v>0.6666666667</v>
      </c>
      <c r="Y85" s="68">
        <f t="shared" si="9"/>
        <v>0</v>
      </c>
      <c r="Z85" s="68">
        <f t="shared" si="10"/>
        <v>0.4444444444</v>
      </c>
      <c r="AA85" s="68">
        <f t="shared" si="11"/>
        <v>0.5555555556</v>
      </c>
      <c r="AB85" s="68">
        <f t="shared" si="12"/>
        <v>0.2222222222</v>
      </c>
      <c r="AC85" s="68">
        <f t="shared" si="13"/>
        <v>0.3333333333</v>
      </c>
      <c r="AD85" s="68">
        <f t="shared" si="14"/>
        <v>0.4444444444</v>
      </c>
      <c r="AE85" s="68">
        <f t="shared" si="15"/>
        <v>0.2222222222</v>
      </c>
      <c r="AF85" s="68">
        <f t="shared" si="16"/>
        <v>0.5555555556</v>
      </c>
      <c r="AG85" s="68">
        <f t="shared" si="17"/>
        <v>0.5555555556</v>
      </c>
    </row>
    <row r="86">
      <c r="A86" s="38">
        <v>232.0</v>
      </c>
      <c r="B86" s="38" t="s">
        <v>49</v>
      </c>
      <c r="C86" s="38" t="s">
        <v>41</v>
      </c>
      <c r="D86" s="38" t="s">
        <v>43</v>
      </c>
      <c r="E86" s="40">
        <v>0.0</v>
      </c>
      <c r="F86" s="40">
        <v>0.0</v>
      </c>
      <c r="G86" s="40">
        <v>0.6666666666666666</v>
      </c>
      <c r="H86" s="40">
        <v>0.0</v>
      </c>
      <c r="I86" s="40">
        <v>0.0</v>
      </c>
      <c r="J86" s="40">
        <v>1.0</v>
      </c>
      <c r="K86" s="40">
        <v>0.0</v>
      </c>
      <c r="L86" s="40">
        <v>0.0</v>
      </c>
      <c r="M86" s="40">
        <v>0.6666666666666666</v>
      </c>
      <c r="N86" s="40">
        <v>0.0</v>
      </c>
      <c r="O86" s="40">
        <v>1.0</v>
      </c>
      <c r="P86" s="40">
        <v>1.0</v>
      </c>
      <c r="R86" s="38"/>
      <c r="S86" s="64" t="s">
        <v>49</v>
      </c>
      <c r="T86" s="67" t="s">
        <v>26</v>
      </c>
      <c r="U86" s="64" t="s">
        <v>32</v>
      </c>
      <c r="V86" s="68">
        <f t="shared" si="6"/>
        <v>0.3333333333</v>
      </c>
      <c r="W86" s="68">
        <f t="shared" si="7"/>
        <v>0.8888888889</v>
      </c>
      <c r="X86" s="68">
        <f t="shared" si="8"/>
        <v>0.8888888889</v>
      </c>
      <c r="Y86" s="68">
        <f t="shared" si="9"/>
        <v>0.3333333333</v>
      </c>
      <c r="Z86" s="68">
        <f t="shared" si="10"/>
        <v>0.7777777778</v>
      </c>
      <c r="AA86" s="68">
        <f t="shared" si="11"/>
        <v>0.8888888889</v>
      </c>
      <c r="AB86" s="68">
        <f t="shared" si="12"/>
        <v>0.3333333333</v>
      </c>
      <c r="AC86" s="68">
        <f t="shared" si="13"/>
        <v>0.6666666667</v>
      </c>
      <c r="AD86" s="68">
        <f t="shared" si="14"/>
        <v>0.8888888889</v>
      </c>
      <c r="AE86" s="68">
        <f t="shared" si="15"/>
        <v>0.5555555556</v>
      </c>
      <c r="AF86" s="68">
        <f t="shared" si="16"/>
        <v>0.8888888889</v>
      </c>
      <c r="AG86" s="68">
        <f t="shared" si="17"/>
        <v>0.7777777778</v>
      </c>
    </row>
    <row r="87">
      <c r="A87" s="38">
        <v>233.0</v>
      </c>
      <c r="B87" s="38" t="s">
        <v>49</v>
      </c>
      <c r="C87" s="38" t="s">
        <v>41</v>
      </c>
      <c r="D87" s="38" t="s">
        <v>43</v>
      </c>
      <c r="E87" s="40">
        <v>0.0</v>
      </c>
      <c r="F87" s="40">
        <v>0.6666666666666666</v>
      </c>
      <c r="G87" s="40">
        <v>1.0</v>
      </c>
      <c r="H87" s="40">
        <v>0.0</v>
      </c>
      <c r="I87" s="40">
        <v>0.6666666666666666</v>
      </c>
      <c r="J87" s="40">
        <v>1.0</v>
      </c>
      <c r="K87" s="40">
        <v>0.0</v>
      </c>
      <c r="L87" s="40">
        <v>0.0</v>
      </c>
      <c r="M87" s="40">
        <v>0.6666666666666666</v>
      </c>
      <c r="N87" s="40">
        <v>0.3333333333333333</v>
      </c>
      <c r="O87" s="40">
        <v>0.6666666666666666</v>
      </c>
      <c r="P87" s="40">
        <v>1.0</v>
      </c>
      <c r="R87" s="38"/>
      <c r="S87" s="64" t="s">
        <v>49</v>
      </c>
      <c r="T87" s="67" t="s">
        <v>26</v>
      </c>
      <c r="U87" s="64" t="s">
        <v>34</v>
      </c>
      <c r="V87" s="68">
        <f t="shared" si="6"/>
        <v>0.3333333333</v>
      </c>
      <c r="W87" s="68">
        <f t="shared" si="7"/>
        <v>0.5555555556</v>
      </c>
      <c r="X87" s="68">
        <f t="shared" si="8"/>
        <v>0.5555555556</v>
      </c>
      <c r="Y87" s="68">
        <f t="shared" si="9"/>
        <v>0.3333333333</v>
      </c>
      <c r="Z87" s="68">
        <f t="shared" si="10"/>
        <v>0.5555555556</v>
      </c>
      <c r="AA87" s="68">
        <f t="shared" si="11"/>
        <v>0.4444444444</v>
      </c>
      <c r="AB87" s="68">
        <f t="shared" si="12"/>
        <v>0.2222222222</v>
      </c>
      <c r="AC87" s="68">
        <f t="shared" si="13"/>
        <v>0.5555555556</v>
      </c>
      <c r="AD87" s="68">
        <f t="shared" si="14"/>
        <v>0.6666666667</v>
      </c>
      <c r="AE87" s="68">
        <f t="shared" si="15"/>
        <v>0.2222222222</v>
      </c>
      <c r="AF87" s="68">
        <f t="shared" si="16"/>
        <v>0.5555555556</v>
      </c>
      <c r="AG87" s="68">
        <f t="shared" si="17"/>
        <v>0.6666666667</v>
      </c>
    </row>
    <row r="88">
      <c r="A88" s="38">
        <v>251.0</v>
      </c>
      <c r="B88" s="38" t="s">
        <v>49</v>
      </c>
      <c r="C88" s="38" t="s">
        <v>41</v>
      </c>
      <c r="D88" s="38" t="s">
        <v>44</v>
      </c>
      <c r="E88" s="40">
        <v>0.0</v>
      </c>
      <c r="F88" s="40">
        <v>0.0</v>
      </c>
      <c r="G88" s="40">
        <v>0.0</v>
      </c>
      <c r="H88" s="40">
        <v>0.0</v>
      </c>
      <c r="I88" s="40">
        <v>0.0</v>
      </c>
      <c r="J88" s="40">
        <v>0.0</v>
      </c>
      <c r="K88" s="40">
        <v>0.0</v>
      </c>
      <c r="L88" s="40">
        <v>0.0</v>
      </c>
      <c r="M88" s="40">
        <v>0.3333333333333333</v>
      </c>
      <c r="N88" s="40">
        <v>0.0</v>
      </c>
      <c r="O88" s="40">
        <v>0.3333333333333333</v>
      </c>
      <c r="P88" s="40">
        <v>0.3333333333333333</v>
      </c>
      <c r="R88" s="38"/>
      <c r="S88" s="64" t="s">
        <v>49</v>
      </c>
      <c r="T88" s="67" t="s">
        <v>26</v>
      </c>
      <c r="U88" s="64" t="s">
        <v>35</v>
      </c>
      <c r="V88" s="68">
        <f t="shared" si="6"/>
        <v>0.1111111111</v>
      </c>
      <c r="W88" s="68">
        <f t="shared" si="7"/>
        <v>0.8888888889</v>
      </c>
      <c r="X88" s="68">
        <f t="shared" si="8"/>
        <v>0.8888888889</v>
      </c>
      <c r="Y88" s="68">
        <f t="shared" si="9"/>
        <v>0.1111111111</v>
      </c>
      <c r="Z88" s="68">
        <f t="shared" si="10"/>
        <v>0.7777777778</v>
      </c>
      <c r="AA88" s="68">
        <f t="shared" si="11"/>
        <v>0.6666666667</v>
      </c>
      <c r="AB88" s="68">
        <f t="shared" si="12"/>
        <v>0</v>
      </c>
      <c r="AC88" s="68">
        <f t="shared" si="13"/>
        <v>0.4444444444</v>
      </c>
      <c r="AD88" s="68">
        <f t="shared" si="14"/>
        <v>0.5555555556</v>
      </c>
      <c r="AE88" s="68">
        <f t="shared" si="15"/>
        <v>0.2222222222</v>
      </c>
      <c r="AF88" s="68">
        <f t="shared" si="16"/>
        <v>0.7777777778</v>
      </c>
      <c r="AG88" s="68">
        <f t="shared" si="17"/>
        <v>0.7777777778</v>
      </c>
    </row>
    <row r="89">
      <c r="A89" s="38">
        <v>252.0</v>
      </c>
      <c r="B89" s="38" t="s">
        <v>49</v>
      </c>
      <c r="C89" s="38" t="s">
        <v>41</v>
      </c>
      <c r="D89" s="38" t="s">
        <v>44</v>
      </c>
      <c r="E89" s="40">
        <v>0.3333333333333333</v>
      </c>
      <c r="F89" s="40">
        <v>0.6666666666666666</v>
      </c>
      <c r="G89" s="40">
        <v>0.6666666666666666</v>
      </c>
      <c r="H89" s="40">
        <v>0.3333333333333333</v>
      </c>
      <c r="I89" s="40">
        <v>0.6666666666666666</v>
      </c>
      <c r="J89" s="40">
        <v>1.0</v>
      </c>
      <c r="K89" s="40">
        <v>0.0</v>
      </c>
      <c r="L89" s="40">
        <v>0.3333333333333333</v>
      </c>
      <c r="M89" s="40">
        <v>0.6666666666666666</v>
      </c>
      <c r="N89" s="40">
        <v>0.0</v>
      </c>
      <c r="O89" s="40">
        <v>0.3333333333333333</v>
      </c>
      <c r="P89" s="40">
        <v>1.0</v>
      </c>
      <c r="R89" s="38"/>
      <c r="S89" s="64" t="s">
        <v>49</v>
      </c>
      <c r="T89" s="64" t="s">
        <v>36</v>
      </c>
      <c r="U89" s="64" t="s">
        <v>37</v>
      </c>
      <c r="V89" s="68">
        <f t="shared" si="6"/>
        <v>0</v>
      </c>
      <c r="W89" s="68">
        <f t="shared" si="7"/>
        <v>0.4444444444</v>
      </c>
      <c r="X89" s="68">
        <f t="shared" si="8"/>
        <v>0.6666666667</v>
      </c>
      <c r="Y89" s="68">
        <f t="shared" si="9"/>
        <v>0.1111111111</v>
      </c>
      <c r="Z89" s="68">
        <f t="shared" si="10"/>
        <v>0.1111111111</v>
      </c>
      <c r="AA89" s="68">
        <f t="shared" si="11"/>
        <v>0.7777777778</v>
      </c>
      <c r="AB89" s="68">
        <f t="shared" si="12"/>
        <v>0.1111111111</v>
      </c>
      <c r="AC89" s="68">
        <f t="shared" si="13"/>
        <v>0.1111111111</v>
      </c>
      <c r="AD89" s="68">
        <f t="shared" si="14"/>
        <v>0.6666666667</v>
      </c>
      <c r="AE89" s="68">
        <f t="shared" si="15"/>
        <v>0.1111111111</v>
      </c>
      <c r="AF89" s="68">
        <f t="shared" si="16"/>
        <v>0.4444444444</v>
      </c>
      <c r="AG89" s="68">
        <f t="shared" si="17"/>
        <v>0.6666666667</v>
      </c>
    </row>
    <row r="90">
      <c r="A90" s="38">
        <v>253.0</v>
      </c>
      <c r="B90" s="38" t="s">
        <v>49</v>
      </c>
      <c r="C90" s="38" t="s">
        <v>41</v>
      </c>
      <c r="D90" s="38" t="s">
        <v>44</v>
      </c>
      <c r="E90" s="40">
        <v>0.0</v>
      </c>
      <c r="F90" s="40">
        <v>0.3333333333333333</v>
      </c>
      <c r="G90" s="40">
        <v>0.6666666666666666</v>
      </c>
      <c r="H90" s="40">
        <v>0.0</v>
      </c>
      <c r="I90" s="40">
        <v>0.3333333333333333</v>
      </c>
      <c r="J90" s="40">
        <v>0.6666666666666666</v>
      </c>
      <c r="K90" s="40">
        <v>0.3333333333333333</v>
      </c>
      <c r="L90" s="40">
        <v>0.6666666666666666</v>
      </c>
      <c r="M90" s="40">
        <v>1.0</v>
      </c>
      <c r="N90" s="40">
        <v>0.0</v>
      </c>
      <c r="O90" s="40">
        <v>0.0</v>
      </c>
      <c r="P90" s="40">
        <v>0.3333333333333333</v>
      </c>
      <c r="R90" s="38"/>
      <c r="S90" s="64" t="s">
        <v>49</v>
      </c>
      <c r="T90" s="64" t="s">
        <v>36</v>
      </c>
      <c r="U90" s="64" t="s">
        <v>38</v>
      </c>
      <c r="V90" s="68">
        <f t="shared" si="6"/>
        <v>0</v>
      </c>
      <c r="W90" s="68">
        <f t="shared" si="7"/>
        <v>0.2222222222</v>
      </c>
      <c r="X90" s="68">
        <f t="shared" si="8"/>
        <v>0.5555555556</v>
      </c>
      <c r="Y90" s="68">
        <f t="shared" si="9"/>
        <v>0</v>
      </c>
      <c r="Z90" s="68">
        <f t="shared" si="10"/>
        <v>0.1111111111</v>
      </c>
      <c r="AA90" s="68">
        <f t="shared" si="11"/>
        <v>0.6666666667</v>
      </c>
      <c r="AB90" s="68">
        <f t="shared" si="12"/>
        <v>0.1111111111</v>
      </c>
      <c r="AC90" s="68">
        <f t="shared" si="13"/>
        <v>0.5555555556</v>
      </c>
      <c r="AD90" s="68">
        <f t="shared" si="14"/>
        <v>0.6666666667</v>
      </c>
      <c r="AE90" s="68">
        <f t="shared" si="15"/>
        <v>0.2222222222</v>
      </c>
      <c r="AF90" s="68">
        <f t="shared" si="16"/>
        <v>0.3333333333</v>
      </c>
      <c r="AG90" s="68">
        <f t="shared" si="17"/>
        <v>0.6666666667</v>
      </c>
    </row>
    <row r="91">
      <c r="A91" s="38">
        <v>261.0</v>
      </c>
      <c r="B91" s="38" t="s">
        <v>49</v>
      </c>
      <c r="C91" s="38" t="s">
        <v>41</v>
      </c>
      <c r="D91" s="38" t="s">
        <v>45</v>
      </c>
      <c r="E91" s="40">
        <v>0.3333333333333333</v>
      </c>
      <c r="F91" s="40">
        <v>1.0</v>
      </c>
      <c r="G91" s="40">
        <v>1.0</v>
      </c>
      <c r="H91" s="40">
        <v>0.6666666666666666</v>
      </c>
      <c r="I91" s="40">
        <v>0.6666666666666666</v>
      </c>
      <c r="J91" s="40">
        <v>1.0</v>
      </c>
      <c r="K91" s="40">
        <v>0.0</v>
      </c>
      <c r="L91" s="40">
        <v>0.3333333333333333</v>
      </c>
      <c r="M91" s="40">
        <v>0.6666666666666666</v>
      </c>
      <c r="N91" s="40">
        <v>0.3333333333333333</v>
      </c>
      <c r="O91" s="40">
        <v>0.6666666666666666</v>
      </c>
      <c r="P91" s="40">
        <v>1.0</v>
      </c>
      <c r="R91" s="38"/>
      <c r="S91" s="64" t="s">
        <v>49</v>
      </c>
      <c r="T91" s="64" t="s">
        <v>36</v>
      </c>
      <c r="U91" s="64" t="s">
        <v>39</v>
      </c>
      <c r="V91" s="68">
        <f t="shared" si="6"/>
        <v>0</v>
      </c>
      <c r="W91" s="68">
        <f t="shared" si="7"/>
        <v>0.4444444444</v>
      </c>
      <c r="X91" s="68">
        <f t="shared" si="8"/>
        <v>0.7777777778</v>
      </c>
      <c r="Y91" s="68">
        <f t="shared" si="9"/>
        <v>0</v>
      </c>
      <c r="Z91" s="68">
        <f t="shared" si="10"/>
        <v>0.5555555556</v>
      </c>
      <c r="AA91" s="68">
        <f t="shared" si="11"/>
        <v>0.6666666667</v>
      </c>
      <c r="AB91" s="68">
        <f t="shared" si="12"/>
        <v>0.1111111111</v>
      </c>
      <c r="AC91" s="68">
        <f t="shared" si="13"/>
        <v>0.6666666667</v>
      </c>
      <c r="AD91" s="68">
        <f t="shared" si="14"/>
        <v>0.7777777778</v>
      </c>
      <c r="AE91" s="68">
        <f t="shared" si="15"/>
        <v>0.2222222222</v>
      </c>
      <c r="AF91" s="68">
        <f t="shared" si="16"/>
        <v>0.5555555556</v>
      </c>
      <c r="AG91" s="68">
        <f t="shared" si="17"/>
        <v>0.7777777778</v>
      </c>
    </row>
    <row r="92">
      <c r="A92" s="38">
        <v>262.0</v>
      </c>
      <c r="B92" s="38" t="s">
        <v>49</v>
      </c>
      <c r="C92" s="38" t="s">
        <v>41</v>
      </c>
      <c r="D92" s="38" t="s">
        <v>45</v>
      </c>
      <c r="E92" s="40">
        <v>0.3333333333333333</v>
      </c>
      <c r="F92" s="40">
        <v>0.3333333333333333</v>
      </c>
      <c r="G92" s="40">
        <v>1.0</v>
      </c>
      <c r="H92" s="40">
        <v>0.0</v>
      </c>
      <c r="I92" s="40">
        <v>0.6666666666666666</v>
      </c>
      <c r="J92" s="40">
        <v>0.6666666666666666</v>
      </c>
      <c r="K92" s="40">
        <v>0.0</v>
      </c>
      <c r="L92" s="40">
        <v>0.0</v>
      </c>
      <c r="M92" s="40">
        <v>0.3333333333333333</v>
      </c>
      <c r="N92" s="40">
        <v>0.3333333333333333</v>
      </c>
      <c r="O92" s="40">
        <v>0.3333333333333333</v>
      </c>
      <c r="P92" s="40">
        <v>0.3333333333333333</v>
      </c>
      <c r="R92" s="38"/>
      <c r="S92" s="64" t="s">
        <v>49</v>
      </c>
      <c r="T92" s="64" t="s">
        <v>36</v>
      </c>
      <c r="U92" s="64" t="s">
        <v>40</v>
      </c>
      <c r="V92" s="68">
        <f t="shared" si="6"/>
        <v>0</v>
      </c>
      <c r="W92" s="68">
        <f t="shared" si="7"/>
        <v>0.5555555556</v>
      </c>
      <c r="X92" s="68">
        <f t="shared" si="8"/>
        <v>0.7777777778</v>
      </c>
      <c r="Y92" s="68">
        <f t="shared" si="9"/>
        <v>0</v>
      </c>
      <c r="Z92" s="68">
        <f t="shared" si="10"/>
        <v>0.6666666667</v>
      </c>
      <c r="AA92" s="68">
        <f t="shared" si="11"/>
        <v>0.6666666667</v>
      </c>
      <c r="AB92" s="68">
        <f t="shared" si="12"/>
        <v>0.2222222222</v>
      </c>
      <c r="AC92" s="68">
        <f t="shared" si="13"/>
        <v>0.6666666667</v>
      </c>
      <c r="AD92" s="68">
        <f t="shared" si="14"/>
        <v>0.7777777778</v>
      </c>
      <c r="AE92" s="68">
        <f t="shared" si="15"/>
        <v>0.1111111111</v>
      </c>
      <c r="AF92" s="68">
        <f t="shared" si="16"/>
        <v>0.6666666667</v>
      </c>
      <c r="AG92" s="68">
        <f t="shared" si="17"/>
        <v>0.7777777778</v>
      </c>
    </row>
    <row r="93">
      <c r="A93" s="38">
        <v>263.0</v>
      </c>
      <c r="B93" s="38" t="s">
        <v>49</v>
      </c>
      <c r="C93" s="38" t="s">
        <v>41</v>
      </c>
      <c r="D93" s="38" t="s">
        <v>45</v>
      </c>
      <c r="E93" s="40">
        <v>0.3333333333333333</v>
      </c>
      <c r="F93" s="40">
        <v>0.3333333333333333</v>
      </c>
      <c r="G93" s="40">
        <v>0.6666666666666666</v>
      </c>
      <c r="H93" s="40">
        <v>0.3333333333333333</v>
      </c>
      <c r="I93" s="40">
        <v>0.3333333333333333</v>
      </c>
      <c r="J93" s="40">
        <v>0.3333333333333333</v>
      </c>
      <c r="K93" s="40">
        <v>0.0</v>
      </c>
      <c r="L93" s="40">
        <v>0.3333333333333333</v>
      </c>
      <c r="M93" s="40">
        <v>0.3333333333333333</v>
      </c>
      <c r="N93" s="40">
        <v>0.6666666666666666</v>
      </c>
      <c r="O93" s="40">
        <v>0.6666666666666666</v>
      </c>
      <c r="P93" s="40">
        <v>0.6666666666666666</v>
      </c>
      <c r="R93" s="38"/>
      <c r="S93" s="64" t="s">
        <v>49</v>
      </c>
      <c r="T93" s="64" t="s">
        <v>41</v>
      </c>
      <c r="U93" s="64" t="s">
        <v>42</v>
      </c>
      <c r="V93" s="68">
        <f t="shared" si="6"/>
        <v>0.3333333333</v>
      </c>
      <c r="W93" s="68">
        <f t="shared" si="7"/>
        <v>0.4444444444</v>
      </c>
      <c r="X93" s="68">
        <f t="shared" si="8"/>
        <v>0.6666666667</v>
      </c>
      <c r="Y93" s="68">
        <f t="shared" si="9"/>
        <v>0.2222222222</v>
      </c>
      <c r="Z93" s="68">
        <f t="shared" si="10"/>
        <v>0.4444444444</v>
      </c>
      <c r="AA93" s="68">
        <f t="shared" si="11"/>
        <v>0.6666666667</v>
      </c>
      <c r="AB93" s="68">
        <f t="shared" si="12"/>
        <v>0</v>
      </c>
      <c r="AC93" s="68">
        <f t="shared" si="13"/>
        <v>0.2222222222</v>
      </c>
      <c r="AD93" s="68">
        <f t="shared" si="14"/>
        <v>0.6666666667</v>
      </c>
      <c r="AE93" s="68">
        <f t="shared" si="15"/>
        <v>0.3333333333</v>
      </c>
      <c r="AF93" s="68">
        <f t="shared" si="16"/>
        <v>0.5555555556</v>
      </c>
      <c r="AG93" s="68">
        <f t="shared" si="17"/>
        <v>0.6666666667</v>
      </c>
    </row>
    <row r="94">
      <c r="S94" s="64" t="s">
        <v>49</v>
      </c>
      <c r="T94" s="64" t="s">
        <v>41</v>
      </c>
      <c r="U94" s="64" t="s">
        <v>43</v>
      </c>
      <c r="V94" s="68">
        <f t="shared" si="6"/>
        <v>0.1111111111</v>
      </c>
      <c r="W94" s="68">
        <f t="shared" si="7"/>
        <v>0.4444444444</v>
      </c>
      <c r="X94" s="68">
        <f t="shared" si="8"/>
        <v>0.7777777778</v>
      </c>
      <c r="Y94" s="68">
        <f t="shared" si="9"/>
        <v>0.1111111111</v>
      </c>
      <c r="Z94" s="68">
        <f t="shared" si="10"/>
        <v>0.4444444444</v>
      </c>
      <c r="AA94" s="68">
        <f t="shared" si="11"/>
        <v>0.8888888889</v>
      </c>
      <c r="AB94" s="68">
        <f t="shared" si="12"/>
        <v>0</v>
      </c>
      <c r="AC94" s="68">
        <f t="shared" si="13"/>
        <v>0.1111111111</v>
      </c>
      <c r="AD94" s="68">
        <f t="shared" si="14"/>
        <v>0.7777777778</v>
      </c>
      <c r="AE94" s="68">
        <f t="shared" si="15"/>
        <v>0.2222222222</v>
      </c>
      <c r="AF94" s="68">
        <f t="shared" si="16"/>
        <v>0.6666666667</v>
      </c>
      <c r="AG94" s="68">
        <f t="shared" si="17"/>
        <v>0.7777777778</v>
      </c>
    </row>
    <row r="95">
      <c r="S95" s="64" t="s">
        <v>49</v>
      </c>
      <c r="T95" s="64" t="s">
        <v>41</v>
      </c>
      <c r="U95" s="64" t="s">
        <v>44</v>
      </c>
      <c r="V95" s="68">
        <f t="shared" si="6"/>
        <v>0.1111111111</v>
      </c>
      <c r="W95" s="68">
        <f t="shared" si="7"/>
        <v>0.3333333333</v>
      </c>
      <c r="X95" s="68">
        <f t="shared" si="8"/>
        <v>0.4444444444</v>
      </c>
      <c r="Y95" s="68">
        <f t="shared" si="9"/>
        <v>0.1111111111</v>
      </c>
      <c r="Z95" s="68">
        <f t="shared" si="10"/>
        <v>0.3333333333</v>
      </c>
      <c r="AA95" s="68">
        <f t="shared" si="11"/>
        <v>0.5555555556</v>
      </c>
      <c r="AB95" s="68">
        <f t="shared" si="12"/>
        <v>0.1111111111</v>
      </c>
      <c r="AC95" s="68">
        <f t="shared" si="13"/>
        <v>0.3333333333</v>
      </c>
      <c r="AD95" s="68">
        <f t="shared" si="14"/>
        <v>0.6666666667</v>
      </c>
      <c r="AE95" s="68">
        <f t="shared" si="15"/>
        <v>0</v>
      </c>
      <c r="AF95" s="68">
        <f t="shared" si="16"/>
        <v>0.2222222222</v>
      </c>
      <c r="AG95" s="68">
        <f t="shared" si="17"/>
        <v>0.5555555556</v>
      </c>
    </row>
    <row r="96">
      <c r="S96" s="64" t="s">
        <v>49</v>
      </c>
      <c r="T96" s="64" t="s">
        <v>41</v>
      </c>
      <c r="U96" s="64" t="s">
        <v>45</v>
      </c>
      <c r="V96" s="68">
        <f t="shared" si="6"/>
        <v>0.3333333333</v>
      </c>
      <c r="W96" s="68">
        <f t="shared" si="7"/>
        <v>0.5555555556</v>
      </c>
      <c r="X96" s="68">
        <f t="shared" si="8"/>
        <v>0.8888888889</v>
      </c>
      <c r="Y96" s="68">
        <f t="shared" si="9"/>
        <v>0.3333333333</v>
      </c>
      <c r="Z96" s="68">
        <f t="shared" si="10"/>
        <v>0.5555555556</v>
      </c>
      <c r="AA96" s="68">
        <f t="shared" si="11"/>
        <v>0.6666666667</v>
      </c>
      <c r="AB96" s="68">
        <f t="shared" si="12"/>
        <v>0</v>
      </c>
      <c r="AC96" s="68">
        <f t="shared" si="13"/>
        <v>0.2222222222</v>
      </c>
      <c r="AD96" s="68">
        <f t="shared" si="14"/>
        <v>0.4444444444</v>
      </c>
      <c r="AE96" s="68">
        <f t="shared" si="15"/>
        <v>0.4444444444</v>
      </c>
      <c r="AF96" s="68">
        <f t="shared" si="16"/>
        <v>0.5555555556</v>
      </c>
      <c r="AG96" s="68">
        <f t="shared" si="17"/>
        <v>0.6666666667</v>
      </c>
    </row>
  </sheetData>
  <mergeCells count="23">
    <mergeCell ref="E2:G2"/>
    <mergeCell ref="H2:J2"/>
    <mergeCell ref="K2:M2"/>
    <mergeCell ref="N2:P2"/>
    <mergeCell ref="V8:Y8"/>
    <mergeCell ref="Z8:AC8"/>
    <mergeCell ref="AD8:AG8"/>
    <mergeCell ref="S22:S33"/>
    <mergeCell ref="S34:S45"/>
    <mergeCell ref="T34:T37"/>
    <mergeCell ref="T38:T41"/>
    <mergeCell ref="T42:T45"/>
    <mergeCell ref="V59:X59"/>
    <mergeCell ref="Y59:AA59"/>
    <mergeCell ref="AB59:AD59"/>
    <mergeCell ref="AE59:AG59"/>
    <mergeCell ref="S10:S21"/>
    <mergeCell ref="T10:T13"/>
    <mergeCell ref="T14:T17"/>
    <mergeCell ref="T18:T21"/>
    <mergeCell ref="T22:T25"/>
    <mergeCell ref="T26:T29"/>
    <mergeCell ref="T30:T33"/>
  </mergeCells>
  <conditionalFormatting sqref="V10:AG45">
    <cfRule type="colorScale" priority="1">
      <colorScale>
        <cfvo type="percent" val="0"/>
        <cfvo type="percentile" val="50"/>
        <cfvo type="percent" val="100"/>
        <color rgb="FF6FA8DC"/>
        <color rgb="FFFFFFFF"/>
        <color rgb="FFE06666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D3" s="41"/>
      <c r="E3" s="42" t="s">
        <v>54</v>
      </c>
      <c r="F3" s="43"/>
      <c r="G3" s="44"/>
      <c r="H3" s="42" t="s">
        <v>55</v>
      </c>
      <c r="I3" s="43"/>
      <c r="J3" s="44"/>
      <c r="K3" s="42" t="s">
        <v>56</v>
      </c>
      <c r="L3" s="43"/>
      <c r="M3" s="44"/>
      <c r="N3" s="42" t="s">
        <v>57</v>
      </c>
      <c r="O3" s="43"/>
      <c r="P3" s="44"/>
    </row>
    <row r="4">
      <c r="D4" s="41"/>
      <c r="E4" s="45" t="s">
        <v>58</v>
      </c>
      <c r="F4" s="45" t="s">
        <v>59</v>
      </c>
      <c r="G4" s="46" t="s">
        <v>60</v>
      </c>
      <c r="H4" s="45" t="s">
        <v>58</v>
      </c>
      <c r="I4" s="45" t="s">
        <v>59</v>
      </c>
      <c r="J4" s="46" t="s">
        <v>60</v>
      </c>
      <c r="K4" s="45" t="s">
        <v>58</v>
      </c>
      <c r="L4" s="45" t="s">
        <v>59</v>
      </c>
      <c r="M4" s="46" t="s">
        <v>60</v>
      </c>
      <c r="N4" s="45" t="s">
        <v>58</v>
      </c>
      <c r="O4" s="45" t="s">
        <v>59</v>
      </c>
      <c r="P4" s="46" t="s">
        <v>60</v>
      </c>
    </row>
    <row r="5">
      <c r="D5" s="47" t="s">
        <v>61</v>
      </c>
      <c r="E5" s="48">
        <v>0.1481481481481481</v>
      </c>
      <c r="F5" s="48">
        <v>0.5277777777777778</v>
      </c>
      <c r="G5" s="49">
        <v>0.712962962962963</v>
      </c>
      <c r="H5" s="48">
        <v>0.1388888888888889</v>
      </c>
      <c r="I5" s="48">
        <v>0.48148148148148145</v>
      </c>
      <c r="J5" s="49">
        <v>0.675925925925926</v>
      </c>
      <c r="K5" s="48">
        <v>0.12037037037037036</v>
      </c>
      <c r="L5" s="48">
        <v>0.40740740740740744</v>
      </c>
      <c r="M5" s="49">
        <v>0.6666666666666665</v>
      </c>
      <c r="N5" s="48">
        <v>0.24074074074074067</v>
      </c>
      <c r="O5" s="48">
        <v>0.5648148148148148</v>
      </c>
      <c r="P5" s="50">
        <v>0.6944444444444442</v>
      </c>
    </row>
    <row r="6">
      <c r="D6" s="47" t="s">
        <v>62</v>
      </c>
      <c r="E6" s="48">
        <v>0.24074074074074073</v>
      </c>
      <c r="F6" s="48">
        <v>0.5925925925925926</v>
      </c>
      <c r="G6" s="49">
        <v>0.6296296296296297</v>
      </c>
      <c r="H6" s="48">
        <v>0.25</v>
      </c>
      <c r="I6" s="48">
        <v>0.5462962962962963</v>
      </c>
      <c r="J6" s="49">
        <v>0.574074074074074</v>
      </c>
      <c r="K6" s="48">
        <v>0.3240740740740741</v>
      </c>
      <c r="L6" s="48">
        <v>0.6111111111111112</v>
      </c>
      <c r="M6" s="49">
        <v>0.6296296296296297</v>
      </c>
      <c r="N6" s="48">
        <v>0.25925925925925936</v>
      </c>
      <c r="O6" s="48">
        <v>0.5555555555555555</v>
      </c>
      <c r="P6" s="50">
        <v>0.6111111111111108</v>
      </c>
    </row>
    <row r="7">
      <c r="D7" s="47" t="s">
        <v>63</v>
      </c>
      <c r="E7" s="48">
        <v>0.25000000000000006</v>
      </c>
      <c r="F7" s="48">
        <v>0.5</v>
      </c>
      <c r="G7" s="49">
        <v>0.5833333333333334</v>
      </c>
      <c r="H7" s="48">
        <v>0.3055555555555556</v>
      </c>
      <c r="I7" s="48">
        <v>0.47222222222222215</v>
      </c>
      <c r="J7" s="49">
        <v>0.5555555555555555</v>
      </c>
      <c r="K7" s="48">
        <v>0.38888888888888884</v>
      </c>
      <c r="L7" s="48">
        <v>0.5277777777777778</v>
      </c>
      <c r="M7" s="49">
        <v>0.5555555555555556</v>
      </c>
      <c r="N7" s="48">
        <v>0.25000000000000006</v>
      </c>
      <c r="O7" s="48">
        <v>0.5555555555555555</v>
      </c>
      <c r="P7" s="50">
        <v>0.5555555555555555</v>
      </c>
    </row>
    <row r="12">
      <c r="E12" s="69" t="s">
        <v>58</v>
      </c>
      <c r="F12" s="43"/>
      <c r="G12" s="43"/>
      <c r="H12" s="44"/>
      <c r="I12" s="69" t="s">
        <v>59</v>
      </c>
      <c r="J12" s="43"/>
      <c r="K12" s="43"/>
      <c r="L12" s="44"/>
      <c r="M12" s="70" t="s">
        <v>60</v>
      </c>
      <c r="N12" s="43"/>
      <c r="O12" s="43"/>
      <c r="P12" s="44"/>
    </row>
    <row r="13">
      <c r="E13" s="38" t="s">
        <v>72</v>
      </c>
      <c r="F13" s="38" t="s">
        <v>55</v>
      </c>
      <c r="G13" s="38" t="s">
        <v>56</v>
      </c>
      <c r="H13" s="38" t="s">
        <v>57</v>
      </c>
      <c r="I13" s="38" t="s">
        <v>72</v>
      </c>
      <c r="J13" s="38" t="s">
        <v>55</v>
      </c>
      <c r="K13" s="38" t="s">
        <v>56</v>
      </c>
      <c r="L13" s="38" t="s">
        <v>57</v>
      </c>
      <c r="M13" s="38" t="s">
        <v>72</v>
      </c>
      <c r="N13" s="38" t="s">
        <v>55</v>
      </c>
      <c r="O13" s="38" t="s">
        <v>56</v>
      </c>
      <c r="P13" s="38" t="s">
        <v>57</v>
      </c>
    </row>
    <row r="14">
      <c r="D14" s="47" t="s">
        <v>61</v>
      </c>
      <c r="E14" s="48">
        <v>0.1481481481481481</v>
      </c>
      <c r="F14" s="48">
        <v>0.1388888888888889</v>
      </c>
      <c r="G14" s="48">
        <v>0.12037037037037036</v>
      </c>
      <c r="H14" s="48">
        <v>0.24074074074074067</v>
      </c>
      <c r="I14" s="48">
        <v>0.5277777777777778</v>
      </c>
      <c r="J14" s="48">
        <v>0.48148148148148145</v>
      </c>
      <c r="K14" s="48">
        <v>0.40740740740740744</v>
      </c>
      <c r="L14" s="48">
        <v>0.5648148148148148</v>
      </c>
      <c r="M14" s="49">
        <v>0.712962962962963</v>
      </c>
      <c r="N14" s="49">
        <v>0.675925925925926</v>
      </c>
      <c r="O14" s="49">
        <v>0.6666666666666665</v>
      </c>
      <c r="P14" s="50">
        <v>0.6944444444444442</v>
      </c>
    </row>
    <row r="15">
      <c r="D15" s="47" t="s">
        <v>62</v>
      </c>
      <c r="E15" s="48">
        <v>0.24074074074074073</v>
      </c>
      <c r="F15" s="48">
        <v>0.25</v>
      </c>
      <c r="G15" s="48">
        <v>0.3240740740740741</v>
      </c>
      <c r="H15" s="48">
        <v>0.25925925925925936</v>
      </c>
      <c r="I15" s="48">
        <v>0.5925925925925926</v>
      </c>
      <c r="J15" s="48">
        <v>0.5462962962962963</v>
      </c>
      <c r="K15" s="48">
        <v>0.6111111111111112</v>
      </c>
      <c r="L15" s="48">
        <v>0.5555555555555555</v>
      </c>
      <c r="M15" s="49">
        <v>0.6296296296296297</v>
      </c>
      <c r="N15" s="49">
        <v>0.574074074074074</v>
      </c>
      <c r="O15" s="49">
        <v>0.6296296296296297</v>
      </c>
      <c r="P15" s="50">
        <v>0.6111111111111108</v>
      </c>
    </row>
    <row r="16">
      <c r="D16" s="47" t="s">
        <v>63</v>
      </c>
      <c r="E16" s="48">
        <v>0.25000000000000006</v>
      </c>
      <c r="F16" s="48">
        <v>0.3055555555555556</v>
      </c>
      <c r="G16" s="48">
        <v>0.38888888888888884</v>
      </c>
      <c r="H16" s="48">
        <v>0.25000000000000006</v>
      </c>
      <c r="I16" s="48">
        <v>0.5</v>
      </c>
      <c r="J16" s="48">
        <v>0.47222222222222215</v>
      </c>
      <c r="K16" s="48">
        <v>0.5277777777777778</v>
      </c>
      <c r="L16" s="48">
        <v>0.5555555555555555</v>
      </c>
      <c r="M16" s="49">
        <v>0.5833333333333334</v>
      </c>
      <c r="N16" s="49">
        <v>0.5555555555555555</v>
      </c>
      <c r="O16" s="49">
        <v>0.5555555555555556</v>
      </c>
      <c r="P16" s="50">
        <v>0.5555555555555555</v>
      </c>
    </row>
    <row r="18">
      <c r="D18" s="71" t="s">
        <v>97</v>
      </c>
      <c r="E18" s="72">
        <v>0.5833333333333334</v>
      </c>
      <c r="F18" s="72">
        <v>0.5555555555555556</v>
      </c>
      <c r="G18" s="72">
        <v>0.5</v>
      </c>
      <c r="H18" s="72">
        <v>0.6388888888888888</v>
      </c>
      <c r="I18" s="72">
        <v>0.037037037037037035</v>
      </c>
      <c r="J18" s="72">
        <v>0.009259259259259259</v>
      </c>
      <c r="K18" s="72">
        <v>0.12037037037037036</v>
      </c>
      <c r="L18" s="72">
        <v>0.018518518518518517</v>
      </c>
      <c r="M18" s="72">
        <v>0.0</v>
      </c>
      <c r="N18" s="72">
        <v>0.0</v>
      </c>
      <c r="O18" s="72">
        <v>0.0</v>
      </c>
      <c r="P18" s="72">
        <v>0.0</v>
      </c>
    </row>
    <row r="19">
      <c r="D19" s="71" t="s">
        <v>98</v>
      </c>
      <c r="E19" s="72">
        <v>0.46296296296296297</v>
      </c>
      <c r="F19" s="72">
        <v>0.4537037037037037</v>
      </c>
      <c r="G19" s="72">
        <v>0.4074074074074074</v>
      </c>
      <c r="H19" s="72">
        <v>0.4537037037037037</v>
      </c>
      <c r="I19" s="72">
        <v>0.0</v>
      </c>
      <c r="J19" s="72">
        <v>0.009259259259259259</v>
      </c>
      <c r="K19" s="72">
        <v>0.027777777777777776</v>
      </c>
      <c r="L19" s="72">
        <v>0.018518518518518517</v>
      </c>
      <c r="M19" s="72">
        <v>0.009259259259259259</v>
      </c>
      <c r="N19" s="72">
        <v>0.009259259259259259</v>
      </c>
      <c r="O19" s="72">
        <v>0.0</v>
      </c>
      <c r="P19" s="72">
        <v>0.0</v>
      </c>
    </row>
    <row r="20">
      <c r="D20" s="71" t="s">
        <v>99</v>
      </c>
      <c r="E20" s="72">
        <v>0.5462962962962963</v>
      </c>
      <c r="F20" s="72">
        <v>0.5555555555555556</v>
      </c>
      <c r="G20" s="72">
        <v>0.5555555555555556</v>
      </c>
      <c r="H20" s="72">
        <v>0.48148148148148145</v>
      </c>
      <c r="I20" s="72">
        <v>0.05555555555555555</v>
      </c>
      <c r="J20" s="72">
        <v>0.1111111111111111</v>
      </c>
      <c r="K20" s="72">
        <v>0.1111111111111111</v>
      </c>
      <c r="L20" s="72">
        <v>0.027777777777777776</v>
      </c>
      <c r="M20" s="72">
        <v>0.0</v>
      </c>
      <c r="N20" s="72">
        <v>0.027777777777777776</v>
      </c>
      <c r="O20" s="72">
        <v>0.0</v>
      </c>
      <c r="P20" s="72">
        <v>0.0</v>
      </c>
    </row>
    <row r="26">
      <c r="D26" s="73"/>
      <c r="E26" s="74" t="s">
        <v>58</v>
      </c>
      <c r="F26" s="73"/>
      <c r="G26" s="73"/>
      <c r="H26" s="74" t="s">
        <v>59</v>
      </c>
      <c r="I26" s="73"/>
      <c r="J26" s="73"/>
      <c r="K26" s="74" t="s">
        <v>60</v>
      </c>
      <c r="L26" s="73"/>
      <c r="M26" s="73"/>
    </row>
    <row r="27">
      <c r="D27" s="73"/>
      <c r="E27" s="75" t="s">
        <v>20</v>
      </c>
      <c r="F27" s="75" t="s">
        <v>21</v>
      </c>
      <c r="G27" s="75" t="s">
        <v>22</v>
      </c>
      <c r="H27" s="75" t="s">
        <v>20</v>
      </c>
      <c r="I27" s="75" t="s">
        <v>21</v>
      </c>
      <c r="J27" s="75" t="s">
        <v>22</v>
      </c>
      <c r="K27" s="75" t="s">
        <v>20</v>
      </c>
      <c r="L27" s="75" t="s">
        <v>21</v>
      </c>
      <c r="M27" s="75" t="s">
        <v>22</v>
      </c>
    </row>
    <row r="28">
      <c r="D28" s="75" t="s">
        <v>72</v>
      </c>
      <c r="E28" s="75">
        <v>21.0</v>
      </c>
      <c r="F28" s="75">
        <v>50.0</v>
      </c>
      <c r="G28" s="75">
        <v>59.0</v>
      </c>
      <c r="H28" s="75">
        <v>2.0</v>
      </c>
      <c r="I28" s="75">
        <v>0.0</v>
      </c>
      <c r="J28" s="75">
        <v>4.0</v>
      </c>
      <c r="K28" s="75">
        <v>0.0</v>
      </c>
      <c r="L28" s="75">
        <v>1.0</v>
      </c>
      <c r="M28" s="75">
        <v>0.0</v>
      </c>
    </row>
    <row r="29">
      <c r="D29" s="75" t="s">
        <v>55</v>
      </c>
      <c r="E29" s="75">
        <v>20.0</v>
      </c>
      <c r="F29" s="75">
        <v>49.0</v>
      </c>
      <c r="G29" s="75">
        <v>60.0</v>
      </c>
      <c r="H29" s="75">
        <v>4.0</v>
      </c>
      <c r="I29" s="75">
        <v>1.0</v>
      </c>
      <c r="J29" s="75">
        <v>1.0</v>
      </c>
      <c r="K29" s="75">
        <v>1.0</v>
      </c>
      <c r="L29" s="75">
        <v>1.0</v>
      </c>
      <c r="M29" s="75">
        <v>0.0</v>
      </c>
    </row>
    <row r="30">
      <c r="D30" s="75" t="s">
        <v>56</v>
      </c>
      <c r="E30" s="75">
        <v>18.0</v>
      </c>
      <c r="F30" s="75">
        <v>44.0</v>
      </c>
      <c r="G30" s="75">
        <v>60.0</v>
      </c>
      <c r="H30" s="75">
        <v>4.0</v>
      </c>
      <c r="I30" s="75">
        <v>3.0</v>
      </c>
      <c r="J30" s="75">
        <v>13.0</v>
      </c>
      <c r="K30" s="75">
        <v>0.0</v>
      </c>
      <c r="L30" s="75">
        <v>0.0</v>
      </c>
      <c r="M30" s="75">
        <v>0.0</v>
      </c>
    </row>
    <row r="31">
      <c r="D31" s="75" t="s">
        <v>57</v>
      </c>
      <c r="E31" s="75">
        <v>23.0</v>
      </c>
      <c r="F31" s="75">
        <v>49.0</v>
      </c>
      <c r="G31" s="75">
        <v>52.0</v>
      </c>
      <c r="H31" s="75">
        <v>1.0</v>
      </c>
      <c r="I31" s="75">
        <v>2.0</v>
      </c>
      <c r="J31" s="75">
        <v>2.0</v>
      </c>
      <c r="K31" s="75">
        <v>0.0</v>
      </c>
      <c r="L31" s="75">
        <v>0.0</v>
      </c>
      <c r="M31" s="75">
        <v>0.0</v>
      </c>
    </row>
    <row r="32">
      <c r="D32" s="73"/>
      <c r="E32" s="73"/>
      <c r="F32" s="73"/>
      <c r="G32" s="73"/>
      <c r="H32" s="73"/>
      <c r="I32" s="73"/>
      <c r="J32" s="73"/>
      <c r="K32" s="73"/>
      <c r="L32" s="73"/>
      <c r="M32" s="73"/>
    </row>
    <row r="33">
      <c r="D33" s="73"/>
      <c r="E33" s="74" t="s">
        <v>58</v>
      </c>
      <c r="F33" s="73"/>
      <c r="G33" s="73"/>
      <c r="H33" s="74" t="s">
        <v>59</v>
      </c>
      <c r="I33" s="73"/>
      <c r="J33" s="73"/>
      <c r="K33" s="74" t="s">
        <v>60</v>
      </c>
      <c r="L33" s="73"/>
      <c r="M33" s="73"/>
    </row>
    <row r="34">
      <c r="D34" s="73"/>
      <c r="E34" s="75" t="s">
        <v>20</v>
      </c>
      <c r="F34" s="75" t="s">
        <v>21</v>
      </c>
      <c r="G34" s="75" t="s">
        <v>22</v>
      </c>
      <c r="H34" s="75" t="s">
        <v>20</v>
      </c>
      <c r="I34" s="75" t="s">
        <v>21</v>
      </c>
      <c r="J34" s="75" t="s">
        <v>22</v>
      </c>
      <c r="K34" s="75" t="s">
        <v>20</v>
      </c>
      <c r="L34" s="75" t="s">
        <v>21</v>
      </c>
      <c r="M34" s="75" t="s">
        <v>22</v>
      </c>
    </row>
    <row r="35">
      <c r="D35" s="75" t="s">
        <v>72</v>
      </c>
      <c r="E35" s="76">
        <v>0.5833333333333334</v>
      </c>
      <c r="F35" s="76">
        <v>0.46296296296296297</v>
      </c>
      <c r="G35" s="76">
        <v>0.5462962962962963</v>
      </c>
      <c r="H35" s="76">
        <v>0.05555555555555555</v>
      </c>
      <c r="I35" s="76">
        <v>0.0</v>
      </c>
      <c r="J35" s="76">
        <v>0.037037037037037035</v>
      </c>
      <c r="K35" s="76">
        <v>0.0</v>
      </c>
      <c r="L35" s="76">
        <v>0.009259259259259259</v>
      </c>
      <c r="M35" s="76">
        <v>0.0</v>
      </c>
    </row>
    <row r="36">
      <c r="D36" s="75" t="s">
        <v>55</v>
      </c>
      <c r="E36" s="76">
        <v>0.5555555555555556</v>
      </c>
      <c r="F36" s="76">
        <v>0.4537037037037037</v>
      </c>
      <c r="G36" s="76">
        <v>0.5555555555555556</v>
      </c>
      <c r="H36" s="76">
        <v>0.1111111111111111</v>
      </c>
      <c r="I36" s="76">
        <v>0.009259259259259259</v>
      </c>
      <c r="J36" s="76">
        <v>0.009259259259259259</v>
      </c>
      <c r="K36" s="76">
        <v>0.027777777777777776</v>
      </c>
      <c r="L36" s="76">
        <v>0.009259259259259259</v>
      </c>
      <c r="M36" s="76">
        <v>0.0</v>
      </c>
    </row>
    <row r="37">
      <c r="D37" s="75" t="s">
        <v>56</v>
      </c>
      <c r="E37" s="76">
        <v>0.5</v>
      </c>
      <c r="F37" s="76">
        <v>0.4074074074074074</v>
      </c>
      <c r="G37" s="76">
        <v>0.5555555555555556</v>
      </c>
      <c r="H37" s="76">
        <v>0.1111111111111111</v>
      </c>
      <c r="I37" s="76">
        <v>0.027777777777777776</v>
      </c>
      <c r="J37" s="76">
        <v>0.12037037037037036</v>
      </c>
      <c r="K37" s="76">
        <v>0.0</v>
      </c>
      <c r="L37" s="76">
        <v>0.0</v>
      </c>
      <c r="M37" s="76">
        <v>0.0</v>
      </c>
    </row>
    <row r="38">
      <c r="D38" s="75" t="s">
        <v>57</v>
      </c>
      <c r="E38" s="76">
        <v>0.6388888888888888</v>
      </c>
      <c r="F38" s="76">
        <v>0.4537037037037037</v>
      </c>
      <c r="G38" s="76">
        <v>0.48148148148148145</v>
      </c>
      <c r="H38" s="76">
        <v>0.027777777777777776</v>
      </c>
      <c r="I38" s="76">
        <v>0.018518518518518517</v>
      </c>
      <c r="J38" s="76">
        <v>0.018518518518518517</v>
      </c>
      <c r="K38" s="76">
        <v>0.0</v>
      </c>
      <c r="L38" s="76">
        <v>0.0</v>
      </c>
      <c r="M38" s="76">
        <v>0.0</v>
      </c>
    </row>
  </sheetData>
  <mergeCells count="7">
    <mergeCell ref="E3:G3"/>
    <mergeCell ref="H3:J3"/>
    <mergeCell ref="K3:M3"/>
    <mergeCell ref="N3:P3"/>
    <mergeCell ref="E12:H12"/>
    <mergeCell ref="I12:L12"/>
    <mergeCell ref="M12:P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38" t="s">
        <v>100</v>
      </c>
      <c r="C1" s="38" t="s">
        <v>101</v>
      </c>
      <c r="D1" s="38" t="s">
        <v>102</v>
      </c>
    </row>
    <row r="2">
      <c r="A2" s="77">
        <v>46126.0</v>
      </c>
      <c r="B2" s="38" t="s">
        <v>103</v>
      </c>
      <c r="C2" s="38" t="s">
        <v>104</v>
      </c>
      <c r="D2" s="38" t="s">
        <v>105</v>
      </c>
    </row>
    <row r="3">
      <c r="A3" s="77">
        <v>46129.0</v>
      </c>
      <c r="B3" s="38" t="s">
        <v>103</v>
      </c>
      <c r="C3" s="38" t="s">
        <v>104</v>
      </c>
      <c r="D3" s="38" t="s">
        <v>105</v>
      </c>
    </row>
    <row r="7">
      <c r="A7" s="77">
        <v>46133.0</v>
      </c>
      <c r="B7" s="38" t="s">
        <v>103</v>
      </c>
      <c r="E7" s="38" t="s">
        <v>106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2026-04-14T03:05:34Z</dcterms:created>
  <dc:creator>openpyxl</dc:creator>
</cp:coreProperties>
</file>