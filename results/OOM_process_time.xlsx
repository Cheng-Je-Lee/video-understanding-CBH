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_time" sheetId="1" r:id="rId5"/>
    <sheet state="visible" name="Token_MME_phi_out" sheetId="2" r:id="rId6"/>
    <sheet state="visible" name="time_reform" sheetId="3" r:id="rId7"/>
  </sheets>
  <definedNames/>
  <calcPr/>
</workbook>
</file>

<file path=xl/sharedStrings.xml><?xml version="1.0" encoding="utf-8"?>
<sst xmlns="http://schemas.openxmlformats.org/spreadsheetml/2006/main" count="961" uniqueCount="395">
  <si>
    <t>影片(編號、長度、分類、子分類)</t>
  </si>
  <si>
    <t>影片長度(秒數)</t>
  </si>
  <si>
    <t>技術</t>
  </si>
  <si>
    <t>下載時間(秒)</t>
  </si>
  <si>
    <t>S2 探針(幀)</t>
  </si>
  <si>
    <t>S2 探針(秒)</t>
  </si>
  <si>
    <t>全片CLIP(幀)</t>
  </si>
  <si>
    <t>全片CLIP(秒)</t>
  </si>
  <si>
    <t>關鍵幀(幀)</t>
  </si>
  <si>
    <t>關鍵幀獲取(秒)</t>
  </si>
  <si>
    <t>關鍵幀截取(秒)</t>
  </si>
  <si>
    <t>Whisper 音訊(秒)</t>
  </si>
  <si>
    <t>動態補幀(幀)</t>
  </si>
  <si>
    <t>漫畫產生(秒)</t>
  </si>
  <si>
    <t>處理偵數(偵)</t>
  </si>
  <si>
    <t>漫畫格蒸餾密度(幀/秒)</t>
  </si>
  <si>
    <t>phi-3處理(秒)</t>
  </si>
  <si>
    <t>累積操作時間(秒)</t>
  </si>
  <si>
    <t>T4 GPU</t>
  </si>
  <si>
    <t>long</t>
  </si>
  <si>
    <t xml:space="preserve">Knowledge </t>
  </si>
  <si>
    <t xml:space="preserve">Humanity &amp; History </t>
  </si>
  <si>
    <t>V1</t>
  </si>
  <si>
    <t>V2</t>
  </si>
  <si>
    <t>V3</t>
  </si>
  <si>
    <t>V4</t>
  </si>
  <si>
    <t>A100 GPU</t>
  </si>
  <si>
    <t xml:space="preserve">Biology &amp; Medicine </t>
  </si>
  <si>
    <t xml:space="preserve">Astronomy </t>
  </si>
  <si>
    <t>Technology</t>
  </si>
  <si>
    <t>Film &amp; Television</t>
  </si>
  <si>
    <t>Animation</t>
  </si>
  <si>
    <t>Movie &amp; TV Show</t>
  </si>
  <si>
    <t xml:space="preserve"> Documentary</t>
  </si>
  <si>
    <t xml:space="preserve"> News Report</t>
  </si>
  <si>
    <t>Life Record</t>
  </si>
  <si>
    <t xml:space="preserve">Handicraft </t>
  </si>
  <si>
    <t>Food</t>
  </si>
  <si>
    <t>Daily Life</t>
  </si>
  <si>
    <t>Travel</t>
  </si>
  <si>
    <t>medium</t>
  </si>
  <si>
    <t>Knowledge</t>
  </si>
  <si>
    <t>Humanity &amp; History</t>
  </si>
  <si>
    <t>Biology &amp; Medicine</t>
  </si>
  <si>
    <t>Astronomy</t>
  </si>
  <si>
    <t xml:space="preserve">Documentary </t>
  </si>
  <si>
    <t>News Report</t>
  </si>
  <si>
    <t>Handicraft</t>
  </si>
  <si>
    <t>short</t>
  </si>
  <si>
    <t xml:space="preserve">Technology </t>
  </si>
  <si>
    <t>Documentary</t>
  </si>
  <si>
    <t xml:space="preserve">News Report </t>
  </si>
  <si>
    <t>INDEX(C:C, (ROW(C2)-1)*4 + 1)</t>
  </si>
  <si>
    <t>WRAPROWS(A1:A12, 4)</t>
  </si>
  <si>
    <t>檔案名稱</t>
  </si>
  <si>
    <t>Token 數量</t>
  </si>
  <si>
    <t>匯出Token 數量/ 匯入影片偵數</t>
  </si>
  <si>
    <t>壓縮處理時間</t>
  </si>
  <si>
    <t>答題正確數 (0, 1, 2 ,3)</t>
  </si>
  <si>
    <t>v1_vme_001.txt</t>
  </si>
  <si>
    <t>v1_vme_002.txt</t>
  </si>
  <si>
    <t>v1_vme_003.txt</t>
  </si>
  <si>
    <t>v1_vme_021.txt</t>
  </si>
  <si>
    <t>v1_vme_022.txt</t>
  </si>
  <si>
    <t>v1_vme_023.txt</t>
  </si>
  <si>
    <t>v1_vme_041.txt</t>
  </si>
  <si>
    <t>v1_vme_042.txt</t>
  </si>
  <si>
    <t>v1_vme_043.txt</t>
  </si>
  <si>
    <t>v1_vme_081.txt</t>
  </si>
  <si>
    <t>v1_vme_082.txt</t>
  </si>
  <si>
    <t>v1_vme_085.txt</t>
  </si>
  <si>
    <t>v1_vme_091.txt</t>
  </si>
  <si>
    <t>v1_vme_092.txt</t>
  </si>
  <si>
    <t>v1_vme_093.txt</t>
  </si>
  <si>
    <t>v1_vme_101.txt</t>
  </si>
  <si>
    <t>v1_vme_103.txt</t>
  </si>
  <si>
    <t>v1_vme_104.txt</t>
  </si>
  <si>
    <t>v1_vme_111.txt</t>
  </si>
  <si>
    <t>v1_vme_112.txt</t>
  </si>
  <si>
    <t>v1_vme_113.txt</t>
  </si>
  <si>
    <t>v1_vme_121.txt</t>
  </si>
  <si>
    <t>v1_vme_122.txt</t>
  </si>
  <si>
    <t>v1_vme_123.txt</t>
  </si>
  <si>
    <t>v1_vme_221.txt</t>
  </si>
  <si>
    <t>v1_vme_222.txt</t>
  </si>
  <si>
    <t>v1_vme_223.txt</t>
  </si>
  <si>
    <t>v1_vme_231.txt</t>
  </si>
  <si>
    <t>v1_vme_232.txt</t>
  </si>
  <si>
    <t>v1_vme_233.txt</t>
  </si>
  <si>
    <t>v1_vme_251.txt</t>
  </si>
  <si>
    <t>v1_vme_252.txt</t>
  </si>
  <si>
    <t>v1_vme_253.txt</t>
  </si>
  <si>
    <t>v1_vme_261.txt</t>
  </si>
  <si>
    <t>v1_vme_262.txt</t>
  </si>
  <si>
    <t>v1_vme_263.txt</t>
  </si>
  <si>
    <t>v1_vme_301.txt</t>
  </si>
  <si>
    <t>v1_vme_302.txt</t>
  </si>
  <si>
    <t>v1_vme_303.txt</t>
  </si>
  <si>
    <t>v1_vme_321.txt</t>
  </si>
  <si>
    <t>v1_vme_322.txt</t>
  </si>
  <si>
    <t>v1_vme_323.txt</t>
  </si>
  <si>
    <t>v1_vme_341.txt</t>
  </si>
  <si>
    <t>v1_vme_343.txt</t>
  </si>
  <si>
    <t>v1_vme_344.txt</t>
  </si>
  <si>
    <t>v1_vme_381.txt</t>
  </si>
  <si>
    <t>v1_vme_382.txt</t>
  </si>
  <si>
    <t>v1_vme_383.txt</t>
  </si>
  <si>
    <t>v1_vme_391.txt</t>
  </si>
  <si>
    <t>v1_vme_392.txt</t>
  </si>
  <si>
    <t>v1_vme_393.txt</t>
  </si>
  <si>
    <t>v1_vme_402.txt</t>
  </si>
  <si>
    <t>v1_vme_403.txt</t>
  </si>
  <si>
    <t>v1_vme_404.txt</t>
  </si>
  <si>
    <t>v1_vme_411.txt</t>
  </si>
  <si>
    <t>v1_vme_412.txt</t>
  </si>
  <si>
    <t>v1_vme_413.txt</t>
  </si>
  <si>
    <t>v1_vme_421.txt</t>
  </si>
  <si>
    <t>v1_vme_422.txt</t>
  </si>
  <si>
    <t>v1_vme_423.txt</t>
  </si>
  <si>
    <t>v1_vme_521.txt</t>
  </si>
  <si>
    <t>v1_vme_522.txt</t>
  </si>
  <si>
    <t>v1_vme_523.txt</t>
  </si>
  <si>
    <t>v1_vme_533.txt</t>
  </si>
  <si>
    <t>v1_vme_534.txt</t>
  </si>
  <si>
    <t>v1_vme_535.txt</t>
  </si>
  <si>
    <t>v1_vme_551.txt</t>
  </si>
  <si>
    <t>v1_vme_552.txt</t>
  </si>
  <si>
    <t>v1_vme_553.txt</t>
  </si>
  <si>
    <t>v1_vme_561.txt</t>
  </si>
  <si>
    <t>v1_vme_562.txt</t>
  </si>
  <si>
    <t>v1_vme_564.txt</t>
  </si>
  <si>
    <t>v1_vme_601.txt</t>
  </si>
  <si>
    <t>v1_vme_622.txt</t>
  </si>
  <si>
    <t>v1_vme_641.txt</t>
  </si>
  <si>
    <t>v1_vme_681.txt</t>
  </si>
  <si>
    <t>v1_vme_692.txt</t>
  </si>
  <si>
    <t>v1_vme_702.txt</t>
  </si>
  <si>
    <t>v1_vme_711.txt</t>
  </si>
  <si>
    <t>v1_vme_721.txt</t>
  </si>
  <si>
    <t>v1_vme_821.txt</t>
  </si>
  <si>
    <t>v1_vme_831.txt</t>
  </si>
  <si>
    <t>v1_vme_854.txt</t>
  </si>
  <si>
    <t>v1_vme_861.txt</t>
  </si>
  <si>
    <t>v2_vme_001.txt</t>
  </si>
  <si>
    <t>v2_vme_002.txt</t>
  </si>
  <si>
    <t>v2_vme_003.txt</t>
  </si>
  <si>
    <t>v2_vme_021.txt</t>
  </si>
  <si>
    <t>v2_vme_022.txt</t>
  </si>
  <si>
    <t>v2_vme_023.txt</t>
  </si>
  <si>
    <t>v2_vme_041.txt</t>
  </si>
  <si>
    <t>v2_vme_042.txt</t>
  </si>
  <si>
    <t>v2_vme_043.txt</t>
  </si>
  <si>
    <t>v2_vme_081.txt</t>
  </si>
  <si>
    <t>v2_vme_082.txt</t>
  </si>
  <si>
    <t>v2_vme_085.txt</t>
  </si>
  <si>
    <t>v2_vme_091.txt</t>
  </si>
  <si>
    <t>v2_vme_092.txt</t>
  </si>
  <si>
    <t>v2_vme_093.txt</t>
  </si>
  <si>
    <t>v2_vme_101.txt</t>
  </si>
  <si>
    <t>v2_vme_103.txt</t>
  </si>
  <si>
    <t>v2_vme_104.txt</t>
  </si>
  <si>
    <t>v2_vme_111.txt</t>
  </si>
  <si>
    <t>v2_vme_112.txt</t>
  </si>
  <si>
    <t>v2_vme_113.txt</t>
  </si>
  <si>
    <t>v2_vme_121.txt</t>
  </si>
  <si>
    <t>v2_vme_122.txt</t>
  </si>
  <si>
    <t>v2_vme_123.txt</t>
  </si>
  <si>
    <t>v2_vme_221.txt</t>
  </si>
  <si>
    <t>v2_vme_222.txt</t>
  </si>
  <si>
    <t>v2_vme_223.txt</t>
  </si>
  <si>
    <t>v2_vme_231.txt</t>
  </si>
  <si>
    <t>v2_vme_232.txt</t>
  </si>
  <si>
    <t>v2_vme_233.txt</t>
  </si>
  <si>
    <t>v2_vme_251.txt</t>
  </si>
  <si>
    <t>v2_vme_252.txt</t>
  </si>
  <si>
    <t>v2_vme_253.txt</t>
  </si>
  <si>
    <t>v2_vme_261.txt</t>
  </si>
  <si>
    <t>v2_vme_262.txt</t>
  </si>
  <si>
    <t>v2_vme_263.txt</t>
  </si>
  <si>
    <t>v2_vme_301.txt</t>
  </si>
  <si>
    <t>v2_vme_302.txt</t>
  </si>
  <si>
    <t>v2_vme_303.txt</t>
  </si>
  <si>
    <t>v2_vme_321.txt</t>
  </si>
  <si>
    <t>v2_vme_322.txt</t>
  </si>
  <si>
    <t>v2_vme_323.txt</t>
  </si>
  <si>
    <t>v2_vme_341.txt</t>
  </si>
  <si>
    <t>v2_vme_343.txt</t>
  </si>
  <si>
    <t>v2_vme_344.txt</t>
  </si>
  <si>
    <t>v2_vme_381.txt</t>
  </si>
  <si>
    <t>v2_vme_382.txt</t>
  </si>
  <si>
    <t>v2_vme_383.txt</t>
  </si>
  <si>
    <t>v2_vme_391.txt</t>
  </si>
  <si>
    <t>v2_vme_392.txt</t>
  </si>
  <si>
    <t>v2_vme_393.txt</t>
  </si>
  <si>
    <t>v2_vme_402.txt</t>
  </si>
  <si>
    <t>v2_vme_403.txt</t>
  </si>
  <si>
    <t>v2_vme_404.txt</t>
  </si>
  <si>
    <t>v2_vme_411.txt</t>
  </si>
  <si>
    <t>v2_vme_412.txt</t>
  </si>
  <si>
    <t>v2_vme_413.txt</t>
  </si>
  <si>
    <t>v2_vme_421.txt</t>
  </si>
  <si>
    <t>v2_vme_422.txt</t>
  </si>
  <si>
    <t>v2_vme_423.txt</t>
  </si>
  <si>
    <t>v2_vme_521.txt</t>
  </si>
  <si>
    <t>v2_vme_522.txt</t>
  </si>
  <si>
    <t>v2_vme_523.txt</t>
  </si>
  <si>
    <t>v2_vme_533.txt</t>
  </si>
  <si>
    <t>v2_vme_534.txt</t>
  </si>
  <si>
    <t>v2_vme_535.txt</t>
  </si>
  <si>
    <t>v2_vme_551.txt</t>
  </si>
  <si>
    <t>v2_vme_552.txt</t>
  </si>
  <si>
    <t>v2_vme_553.txt</t>
  </si>
  <si>
    <t>v2_vme_561.txt</t>
  </si>
  <si>
    <t>v2_vme_562.txt</t>
  </si>
  <si>
    <t>v2_vme_564.txt</t>
  </si>
  <si>
    <t>v2_vme_601.txt</t>
  </si>
  <si>
    <t>v2_vme_622.txt</t>
  </si>
  <si>
    <t>v2_vme_641.txt</t>
  </si>
  <si>
    <t>v2_vme_681.txt</t>
  </si>
  <si>
    <t>v2_vme_692.txt</t>
  </si>
  <si>
    <t>v2_vme_702.txt</t>
  </si>
  <si>
    <t>v2_vme_711.txt</t>
  </si>
  <si>
    <t>v2_vme_721.txt</t>
  </si>
  <si>
    <t>v2_vme_821.txt</t>
  </si>
  <si>
    <t>v2_vme_831.txt</t>
  </si>
  <si>
    <t>v2_vme_854.txt</t>
  </si>
  <si>
    <t>v2_vme_861.txt</t>
  </si>
  <si>
    <t>v3_vme_001.txt</t>
  </si>
  <si>
    <t>v3_vme_002.txt</t>
  </si>
  <si>
    <t>v3_vme_003.txt</t>
  </si>
  <si>
    <t>v3_vme_021.txt</t>
  </si>
  <si>
    <t>v3_vme_022.txt</t>
  </si>
  <si>
    <t>v3_vme_023.txt</t>
  </si>
  <si>
    <t>v3_vme_041.txt</t>
  </si>
  <si>
    <t>v3_vme_042.txt</t>
  </si>
  <si>
    <t>v3_vme_043.txt</t>
  </si>
  <si>
    <t>v3_vme_081.txt</t>
  </si>
  <si>
    <t>v3_vme_082.txt</t>
  </si>
  <si>
    <t>v3_vme_085.txt</t>
  </si>
  <si>
    <t>v3_vme_091.txt</t>
  </si>
  <si>
    <t>v3_vme_092.txt</t>
  </si>
  <si>
    <t>v3_vme_093.txt</t>
  </si>
  <si>
    <t>v3_vme_101.txt</t>
  </si>
  <si>
    <t>v3_vme_103.txt</t>
  </si>
  <si>
    <t>v3_vme_104.txt</t>
  </si>
  <si>
    <t>v3_vme_111.txt</t>
  </si>
  <si>
    <t>v3_vme_112.txt</t>
  </si>
  <si>
    <t>v3_vme_113.txt</t>
  </si>
  <si>
    <t>v3_vme_121.txt</t>
  </si>
  <si>
    <t>v3_vme_122.txt</t>
  </si>
  <si>
    <t>v3_vme_123.txt</t>
  </si>
  <si>
    <t>v3_vme_221.txt</t>
  </si>
  <si>
    <t>v3_vme_222.txt</t>
  </si>
  <si>
    <t>v3_vme_223.txt</t>
  </si>
  <si>
    <t>v3_vme_231.txt</t>
  </si>
  <si>
    <t>v3_vme_232.txt</t>
  </si>
  <si>
    <t>v3_vme_233.txt</t>
  </si>
  <si>
    <t>v3_vme_251.txt</t>
  </si>
  <si>
    <t>v3_vme_252.txt</t>
  </si>
  <si>
    <t>v3_vme_253.txt</t>
  </si>
  <si>
    <t>v3_vme_261.txt</t>
  </si>
  <si>
    <t>v3_vme_262.txt</t>
  </si>
  <si>
    <t>v3_vme_263.txt</t>
  </si>
  <si>
    <t>v3_vme_301.txt</t>
  </si>
  <si>
    <t>v3_vme_302.txt</t>
  </si>
  <si>
    <t>v3_vme_303.txt</t>
  </si>
  <si>
    <t>v3_vme_321.txt</t>
  </si>
  <si>
    <t>v3_vme_322.txt</t>
  </si>
  <si>
    <t>v3_vme_323.txt</t>
  </si>
  <si>
    <t>v3_vme_341.txt</t>
  </si>
  <si>
    <t>v3_vme_343.txt</t>
  </si>
  <si>
    <t>v3_vme_344.txt</t>
  </si>
  <si>
    <t>v3_vme_381.txt</t>
  </si>
  <si>
    <t>v3_vme_382.txt</t>
  </si>
  <si>
    <t>v3_vme_383.txt</t>
  </si>
  <si>
    <t>v3_vme_391.txt</t>
  </si>
  <si>
    <t>v3_vme_392.txt</t>
  </si>
  <si>
    <t>v3_vme_393.txt</t>
  </si>
  <si>
    <t>v3_vme_402.txt</t>
  </si>
  <si>
    <t>v3_vme_403.txt</t>
  </si>
  <si>
    <t>v3_vme_404.txt</t>
  </si>
  <si>
    <t>v3_vme_411.txt</t>
  </si>
  <si>
    <t>v3_vme_412.txt</t>
  </si>
  <si>
    <t>v3_vme_413.txt</t>
  </si>
  <si>
    <t>v3_vme_421.txt</t>
  </si>
  <si>
    <t>v3_vme_422.txt</t>
  </si>
  <si>
    <t>v3_vme_423.txt</t>
  </si>
  <si>
    <t>v3_vme_521.txt</t>
  </si>
  <si>
    <t>v3_vme_522.txt</t>
  </si>
  <si>
    <t>v3_vme_523.txt</t>
  </si>
  <si>
    <t>v3_vme_533.txt</t>
  </si>
  <si>
    <t>v3_vme_534.txt</t>
  </si>
  <si>
    <t>v3_vme_535.txt</t>
  </si>
  <si>
    <t>v3_vme_551.txt</t>
  </si>
  <si>
    <t>v3_vme_552.txt</t>
  </si>
  <si>
    <t>v3_vme_553.txt</t>
  </si>
  <si>
    <t>v3_vme_561.txt</t>
  </si>
  <si>
    <t>v3_vme_562.txt</t>
  </si>
  <si>
    <t>v3_vme_564.txt</t>
  </si>
  <si>
    <t>v3_vme_601.txt</t>
  </si>
  <si>
    <t>v3_vme_622.txt</t>
  </si>
  <si>
    <t>v3_vme_641.txt</t>
  </si>
  <si>
    <t>v3_vme_681.txt</t>
  </si>
  <si>
    <t>v3_vme_692.txt</t>
  </si>
  <si>
    <t>v3_vme_702.txt</t>
  </si>
  <si>
    <t>v3_vme_711.txt</t>
  </si>
  <si>
    <t>v3_vme_721.txt</t>
  </si>
  <si>
    <t>v3_vme_821.txt</t>
  </si>
  <si>
    <t>v3_vme_831.txt</t>
  </si>
  <si>
    <t>v3_vme_854.txt</t>
  </si>
  <si>
    <t>v3_vme_861.txt</t>
  </si>
  <si>
    <t>v4_vme_001.txt</t>
  </si>
  <si>
    <t>v4_vme_002.txt</t>
  </si>
  <si>
    <t>v4_vme_003.txt</t>
  </si>
  <si>
    <t>v4_vme_021.txt</t>
  </si>
  <si>
    <t>v4_vme_022.txt</t>
  </si>
  <si>
    <t>v4_vme_023.txt</t>
  </si>
  <si>
    <t>v4_vme_041.txt</t>
  </si>
  <si>
    <t>v4_vme_042.txt</t>
  </si>
  <si>
    <t>v4_vme_043.txt</t>
  </si>
  <si>
    <t>v4_vme_081.txt</t>
  </si>
  <si>
    <t>v4_vme_082.txt</t>
  </si>
  <si>
    <t>v4_vme_085.txt</t>
  </si>
  <si>
    <t>v4_vme_091.txt</t>
  </si>
  <si>
    <t>v4_vme_092.txt</t>
  </si>
  <si>
    <t>v4_vme_093.txt</t>
  </si>
  <si>
    <t>v4_vme_101.txt</t>
  </si>
  <si>
    <t>v4_vme_103.txt</t>
  </si>
  <si>
    <t>v4_vme_104.txt</t>
  </si>
  <si>
    <t>v4_vme_111.txt</t>
  </si>
  <si>
    <t>v4_vme_112.txt</t>
  </si>
  <si>
    <t>v4_vme_113.txt</t>
  </si>
  <si>
    <t>v4_vme_121.txt</t>
  </si>
  <si>
    <t>v4_vme_122.txt</t>
  </si>
  <si>
    <t>v4_vme_123.txt</t>
  </si>
  <si>
    <t>v4_vme_221.txt</t>
  </si>
  <si>
    <t>v4_vme_222.txt</t>
  </si>
  <si>
    <t>v4_vme_223.txt</t>
  </si>
  <si>
    <t>v4_vme_231.txt</t>
  </si>
  <si>
    <t>v4_vme_232.txt</t>
  </si>
  <si>
    <t>v4_vme_233.txt</t>
  </si>
  <si>
    <t>v4_vme_251.txt</t>
  </si>
  <si>
    <t>v4_vme_252.txt</t>
  </si>
  <si>
    <t>v4_vme_253.txt</t>
  </si>
  <si>
    <t>v4_vme_261.txt</t>
  </si>
  <si>
    <t>v4_vme_262.txt</t>
  </si>
  <si>
    <t>v4_vme_263.txt</t>
  </si>
  <si>
    <t>v4_vme_301.txt</t>
  </si>
  <si>
    <t>v4_vme_302.txt</t>
  </si>
  <si>
    <t>v4_vme_303.txt</t>
  </si>
  <si>
    <t>v4_vme_321.txt</t>
  </si>
  <si>
    <t>v4_vme_322.txt</t>
  </si>
  <si>
    <t>v4_vme_323.txt</t>
  </si>
  <si>
    <t>v4_vme_341.txt</t>
  </si>
  <si>
    <t>v4_vme_343.txt</t>
  </si>
  <si>
    <t>v4_vme_344.txt</t>
  </si>
  <si>
    <t>v4_vme_381.txt</t>
  </si>
  <si>
    <t>v4_vme_382.txt</t>
  </si>
  <si>
    <t>v4_vme_383.txt</t>
  </si>
  <si>
    <t>v4_vme_391.txt</t>
  </si>
  <si>
    <t>v4_vme_392.txt</t>
  </si>
  <si>
    <t>v4_vme_393.txt</t>
  </si>
  <si>
    <t>v4_vme_402.txt</t>
  </si>
  <si>
    <t>v4_vme_403.txt</t>
  </si>
  <si>
    <t>v4_vme_404.txt</t>
  </si>
  <si>
    <t>v4_vme_411.txt</t>
  </si>
  <si>
    <t>v4_vme_412.txt</t>
  </si>
  <si>
    <t>v4_vme_413.txt</t>
  </si>
  <si>
    <t>v4_vme_421.txt</t>
  </si>
  <si>
    <t>v4_vme_422.txt</t>
  </si>
  <si>
    <t>v4_vme_423.txt</t>
  </si>
  <si>
    <t>v4_vme_521.txt</t>
  </si>
  <si>
    <t>v4_vme_522.txt</t>
  </si>
  <si>
    <t>v4_vme_523.txt</t>
  </si>
  <si>
    <t>v4_vme_533.txt</t>
  </si>
  <si>
    <t>v4_vme_534.txt</t>
  </si>
  <si>
    <t>v4_vme_535.txt</t>
  </si>
  <si>
    <t>v4_vme_551.txt</t>
  </si>
  <si>
    <t>v4_vme_552.txt</t>
  </si>
  <si>
    <t>v4_vme_553.txt</t>
  </si>
  <si>
    <t>v4_vme_561.txt</t>
  </si>
  <si>
    <t>v4_vme_562.txt</t>
  </si>
  <si>
    <t>v4_vme_564.txt</t>
  </si>
  <si>
    <t>v4_vme_601.txt</t>
  </si>
  <si>
    <t>v4_vme_622.txt</t>
  </si>
  <si>
    <t>v4_vme_641.txt</t>
  </si>
  <si>
    <t>v4_vme_681.txt</t>
  </si>
  <si>
    <t>v4_vme_692.txt</t>
  </si>
  <si>
    <t>v4_vme_702.txt</t>
  </si>
  <si>
    <t>v4_vme_711.txt</t>
  </si>
  <si>
    <t>v4_vme_721.txt</t>
  </si>
  <si>
    <t>v4_vme_821.txt</t>
  </si>
  <si>
    <t>v4_vme_831.txt</t>
  </si>
  <si>
    <t>v4_vme_854.txt</t>
  </si>
  <si>
    <t>v4_vme_861.txt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</si>
</sst>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FF0000"/>
      <name val="Arial"/>
      <scheme val="minor"/>
    </font>
    <font>
      <color rgb="FF0000FF"/>
      <name val="Arial"/>
      <scheme val="minor"/>
    </font>
    <font>
      <color theme="1"/>
      <name val="Arial"/>
    </font>
    <font>
      <color theme="7"/>
      <name val="Arial"/>
      <scheme val="minor"/>
    </font>
    <font>
      <color rgb="FF34A853"/>
      <name val="Arial"/>
      <scheme val="minor"/>
    </font>
    <font/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readingOrder="0" vertical="center"/>
    </xf>
    <xf borderId="2" fillId="2" fontId="4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3" fillId="2" fontId="5" numFmtId="0" xfId="0" applyAlignment="1" applyBorder="1" applyFont="1">
      <alignment horizontal="center" readingOrder="0" vertical="center"/>
    </xf>
    <xf borderId="3" fillId="2" fontId="6" numFmtId="0" xfId="0" applyAlignment="1" applyBorder="1" applyFont="1">
      <alignment horizontal="center" readingOrder="0" vertical="center"/>
    </xf>
    <xf borderId="3" fillId="2" fontId="1" numFmtId="2" xfId="0" applyAlignment="1" applyBorder="1" applyFont="1" applyNumberFormat="1">
      <alignment horizontal="center" readingOrder="0" vertical="center"/>
    </xf>
    <xf borderId="3" fillId="2" fontId="2" numFmtId="0" xfId="0" applyAlignment="1" applyBorder="1" applyFont="1">
      <alignment horizontal="center" readingOrder="0" vertical="center"/>
    </xf>
    <xf borderId="3" fillId="2" fontId="3" numFmtId="2" xfId="0" applyAlignment="1" applyBorder="1" applyFont="1" applyNumberFormat="1">
      <alignment horizontal="center" readingOrder="0" vertical="center"/>
    </xf>
    <xf borderId="0" fillId="0" fontId="1" numFmtId="2" xfId="0" applyAlignment="1" applyFont="1" applyNumberFormat="1">
      <alignment horizontal="center" vertical="center"/>
    </xf>
    <xf borderId="4" fillId="0" fontId="7" numFmtId="0" xfId="0" applyBorder="1" applyFont="1"/>
    <xf borderId="5" fillId="0" fontId="7" numFmtId="0" xfId="0" applyBorder="1" applyFont="1"/>
    <xf borderId="0" fillId="0" fontId="2" numFmtId="0" xfId="0" applyAlignment="1" applyFon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3" fillId="2" fontId="3" numFmtId="0" xfId="0" applyAlignment="1" applyBorder="1" applyFont="1">
      <alignment horizontal="center" readingOrder="0" vertical="center"/>
    </xf>
    <xf borderId="2" fillId="2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8" numFmtId="0" xfId="0" applyAlignment="1" applyFont="1">
      <alignment horizontal="center" vertical="top"/>
    </xf>
    <xf borderId="0" fillId="0" fontId="1" numFmtId="0" xfId="0" applyAlignment="1" applyFont="1">
      <alignment readingOrder="0"/>
    </xf>
    <xf borderId="0" fillId="3" fontId="1" numFmtId="2" xfId="0" applyAlignment="1" applyFill="1" applyFont="1" applyNumberFormat="1">
      <alignment readingOrder="0"/>
    </xf>
    <xf borderId="3" fillId="0" fontId="8" numFmtId="0" xfId="0" applyAlignment="1" applyBorder="1" applyFont="1">
      <alignment horizontal="center" vertical="top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" numFmtId="0" xfId="0" applyFont="1"/>
    <xf borderId="0" fillId="3" fontId="1" numFmtId="2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6.5"/>
    <col customWidth="1" min="3" max="3" width="8.75"/>
    <col customWidth="1" min="4" max="5" width="8.88"/>
    <col customWidth="1" min="6" max="6" width="7.88"/>
    <col customWidth="1" min="7" max="7" width="12.75"/>
    <col customWidth="1" min="8" max="8" width="11.25"/>
    <col customWidth="1" min="13" max="13" width="12.63"/>
    <col customWidth="1" min="14" max="14" width="13.38"/>
    <col customWidth="1" min="15" max="15" width="14.75"/>
    <col customWidth="1" min="17" max="18" width="12.88"/>
    <col customWidth="1" min="19" max="19" width="17.5"/>
    <col customWidth="1" min="21" max="21" width="14.25"/>
  </cols>
  <sheetData>
    <row r="1">
      <c r="A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2" t="s">
        <v>15</v>
      </c>
      <c r="T1" s="1" t="s">
        <v>16</v>
      </c>
      <c r="U1" s="3" t="s">
        <v>17</v>
      </c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5" t="s">
        <v>18</v>
      </c>
      <c r="B2" s="5"/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  <c r="T2" s="6"/>
      <c r="U2" s="8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9">
        <v>601.0</v>
      </c>
      <c r="B3" s="9" t="s">
        <v>19</v>
      </c>
      <c r="C3" s="9" t="s">
        <v>20</v>
      </c>
      <c r="D3" s="9" t="s">
        <v>21</v>
      </c>
      <c r="E3" s="10">
        <v>3169.0</v>
      </c>
      <c r="F3" s="11" t="s">
        <v>22</v>
      </c>
      <c r="G3" s="12">
        <f t="shared" ref="G3:G6" si="1">46.1+5.83</f>
        <v>51.93</v>
      </c>
      <c r="H3" s="12">
        <v>62.0</v>
      </c>
      <c r="I3" s="13">
        <v>16.79</v>
      </c>
      <c r="J3" s="13">
        <v>3170.0</v>
      </c>
      <c r="K3" s="13">
        <v>120.92</v>
      </c>
      <c r="L3" s="11">
        <v>270.0</v>
      </c>
      <c r="M3" s="11">
        <v>1.28</v>
      </c>
      <c r="N3" s="14">
        <v>15.59</v>
      </c>
      <c r="O3" s="13">
        <v>103.69</v>
      </c>
      <c r="P3" s="11">
        <v>23.0</v>
      </c>
      <c r="Q3" s="11">
        <v>1.5</v>
      </c>
      <c r="R3" s="11">
        <f t="shared" ref="R3:R6" si="2">P3+L3</f>
        <v>293</v>
      </c>
      <c r="S3" s="15">
        <v>0.0925</v>
      </c>
      <c r="T3" s="11">
        <v>2166.09</v>
      </c>
      <c r="U3" s="16">
        <f t="shared" ref="U3:U6" si="3">sum(G3,I3,K3,M3,N3,O3,Q3,T3)</f>
        <v>2477.79</v>
      </c>
      <c r="V3" s="4"/>
      <c r="W3" s="17">
        <f t="shared" ref="W3:W344" si="4">U3-G3</f>
        <v>2425.86</v>
      </c>
      <c r="X3" s="4"/>
      <c r="Y3" s="4"/>
      <c r="Z3" s="4"/>
      <c r="AA3" s="4"/>
      <c r="AB3" s="4"/>
      <c r="AC3" s="4"/>
      <c r="AD3" s="4"/>
      <c r="AE3" s="4"/>
      <c r="AF3" s="4"/>
      <c r="AG3" s="4"/>
    </row>
    <row r="4">
      <c r="A4" s="18"/>
      <c r="B4" s="18"/>
      <c r="C4" s="18"/>
      <c r="D4" s="18"/>
      <c r="E4" s="18"/>
      <c r="F4" s="11" t="s">
        <v>23</v>
      </c>
      <c r="G4" s="12">
        <f t="shared" si="1"/>
        <v>51.93</v>
      </c>
      <c r="H4" s="12">
        <v>62.0</v>
      </c>
      <c r="I4" s="13">
        <v>16.79</v>
      </c>
      <c r="J4" s="13">
        <v>3170.0</v>
      </c>
      <c r="K4" s="13">
        <v>120.92</v>
      </c>
      <c r="L4" s="11">
        <v>253.0</v>
      </c>
      <c r="M4" s="11">
        <v>2.74</v>
      </c>
      <c r="N4" s="14">
        <v>14.95</v>
      </c>
      <c r="O4" s="13">
        <v>103.69</v>
      </c>
      <c r="P4" s="11">
        <v>23.0</v>
      </c>
      <c r="Q4" s="11">
        <v>2.65</v>
      </c>
      <c r="R4" s="11">
        <f t="shared" si="2"/>
        <v>276</v>
      </c>
      <c r="S4" s="15">
        <v>0.0871</v>
      </c>
      <c r="T4" s="11">
        <v>2038.83</v>
      </c>
      <c r="U4" s="16">
        <f t="shared" si="3"/>
        <v>2352.5</v>
      </c>
      <c r="V4" s="4"/>
      <c r="W4" s="17">
        <f t="shared" si="4"/>
        <v>2300.57</v>
      </c>
      <c r="X4" s="4"/>
      <c r="Y4" s="4"/>
      <c r="Z4" s="4"/>
      <c r="AA4" s="4"/>
      <c r="AB4" s="4"/>
      <c r="AC4" s="4"/>
      <c r="AD4" s="4"/>
      <c r="AE4" s="4"/>
      <c r="AF4" s="4"/>
      <c r="AG4" s="4"/>
    </row>
    <row r="5">
      <c r="A5" s="18"/>
      <c r="B5" s="18"/>
      <c r="C5" s="18"/>
      <c r="D5" s="18"/>
      <c r="E5" s="18"/>
      <c r="F5" s="11" t="s">
        <v>24</v>
      </c>
      <c r="G5" s="12">
        <f t="shared" si="1"/>
        <v>51.93</v>
      </c>
      <c r="H5" s="12">
        <v>62.0</v>
      </c>
      <c r="I5" s="13">
        <v>16.79</v>
      </c>
      <c r="J5" s="13">
        <v>3170.0</v>
      </c>
      <c r="K5" s="13">
        <v>120.92</v>
      </c>
      <c r="L5" s="11">
        <v>297.0</v>
      </c>
      <c r="M5" s="11">
        <v>0.0</v>
      </c>
      <c r="N5" s="14">
        <v>0.01</v>
      </c>
      <c r="O5" s="13">
        <v>103.69</v>
      </c>
      <c r="P5" s="11">
        <v>0.0</v>
      </c>
      <c r="Q5" s="11">
        <v>0.0</v>
      </c>
      <c r="R5" s="11">
        <f t="shared" si="2"/>
        <v>297</v>
      </c>
      <c r="S5" s="15">
        <v>0.0937</v>
      </c>
      <c r="T5" s="11">
        <v>1383.52</v>
      </c>
      <c r="U5" s="16">
        <f t="shared" si="3"/>
        <v>1676.86</v>
      </c>
      <c r="V5" s="4"/>
      <c r="W5" s="17">
        <f t="shared" si="4"/>
        <v>1624.93</v>
      </c>
      <c r="X5" s="4"/>
      <c r="Y5" s="4"/>
      <c r="Z5" s="4"/>
      <c r="AA5" s="4"/>
      <c r="AB5" s="4"/>
      <c r="AC5" s="4"/>
      <c r="AD5" s="4"/>
      <c r="AE5" s="4"/>
      <c r="AF5" s="4"/>
      <c r="AG5" s="4"/>
    </row>
    <row r="6">
      <c r="A6" s="19"/>
      <c r="B6" s="19"/>
      <c r="C6" s="19"/>
      <c r="D6" s="19"/>
      <c r="E6" s="19"/>
      <c r="F6" s="11" t="s">
        <v>25</v>
      </c>
      <c r="G6" s="12">
        <f t="shared" si="1"/>
        <v>51.93</v>
      </c>
      <c r="H6" s="12">
        <v>62.0</v>
      </c>
      <c r="I6" s="13">
        <v>16.79</v>
      </c>
      <c r="J6" s="13">
        <v>3170.0</v>
      </c>
      <c r="K6" s="13">
        <v>120.92</v>
      </c>
      <c r="L6" s="11">
        <v>90.0</v>
      </c>
      <c r="M6" s="11">
        <v>48.04</v>
      </c>
      <c r="N6" s="14">
        <v>5.34</v>
      </c>
      <c r="O6" s="13">
        <v>103.69</v>
      </c>
      <c r="P6" s="11">
        <v>70.0</v>
      </c>
      <c r="Q6" s="11">
        <v>5.52</v>
      </c>
      <c r="R6" s="11">
        <f t="shared" si="2"/>
        <v>160</v>
      </c>
      <c r="S6" s="15">
        <v>0.0505</v>
      </c>
      <c r="T6" s="11">
        <v>1179.4</v>
      </c>
      <c r="U6" s="16">
        <f t="shared" si="3"/>
        <v>1531.63</v>
      </c>
      <c r="V6" s="4"/>
      <c r="W6" s="17">
        <f t="shared" si="4"/>
        <v>1479.7</v>
      </c>
      <c r="X6" s="4"/>
      <c r="Y6" s="4"/>
      <c r="Z6" s="4"/>
      <c r="AA6" s="4"/>
      <c r="AB6" s="4"/>
      <c r="AC6" s="4"/>
      <c r="AD6" s="4"/>
      <c r="AE6" s="4"/>
      <c r="AF6" s="4"/>
      <c r="AG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"/>
      <c r="R7" s="1"/>
      <c r="S7" s="20"/>
      <c r="T7" s="4"/>
      <c r="U7" s="8"/>
      <c r="V7" s="4"/>
      <c r="W7" s="4">
        <f t="shared" si="4"/>
        <v>0</v>
      </c>
      <c r="X7" s="4"/>
      <c r="Y7" s="4"/>
      <c r="Z7" s="4"/>
      <c r="AA7" s="4"/>
      <c r="AB7" s="4"/>
      <c r="AC7" s="4"/>
      <c r="AD7" s="4"/>
      <c r="AE7" s="4"/>
      <c r="AF7" s="4"/>
      <c r="AG7" s="4"/>
    </row>
    <row r="8">
      <c r="A8" s="1" t="s">
        <v>26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1"/>
      <c r="R8" s="1"/>
      <c r="S8" s="20"/>
      <c r="T8" s="4"/>
      <c r="U8" s="8"/>
      <c r="V8" s="4"/>
      <c r="W8" s="4">
        <f t="shared" si="4"/>
        <v>0</v>
      </c>
      <c r="X8" s="4"/>
      <c r="Y8" s="4"/>
      <c r="Z8" s="4"/>
      <c r="AA8" s="4"/>
      <c r="AB8" s="4"/>
      <c r="AC8" s="4"/>
      <c r="AD8" s="4"/>
      <c r="AE8" s="4"/>
      <c r="AF8" s="4"/>
      <c r="AG8" s="4"/>
    </row>
    <row r="9">
      <c r="A9" s="9">
        <v>622.0</v>
      </c>
      <c r="B9" s="9" t="s">
        <v>19</v>
      </c>
      <c r="C9" s="9" t="s">
        <v>20</v>
      </c>
      <c r="D9" s="9" t="s">
        <v>27</v>
      </c>
      <c r="E9" s="10">
        <v>2519.8</v>
      </c>
      <c r="F9" s="11" t="s">
        <v>22</v>
      </c>
      <c r="G9" s="12">
        <f t="shared" ref="G9:G12" si="5">6.7+4.84</f>
        <v>11.54</v>
      </c>
      <c r="H9" s="13">
        <v>62.0</v>
      </c>
      <c r="I9" s="13">
        <v>15.41</v>
      </c>
      <c r="J9" s="13">
        <v>2605.0</v>
      </c>
      <c r="K9" s="13">
        <v>56.92</v>
      </c>
      <c r="L9" s="11">
        <v>223.0</v>
      </c>
      <c r="M9" s="11">
        <v>0.96</v>
      </c>
      <c r="N9" s="14">
        <v>3.69</v>
      </c>
      <c r="O9" s="13">
        <v>76.59</v>
      </c>
      <c r="P9" s="11">
        <v>15.0</v>
      </c>
      <c r="Q9" s="11">
        <v>0.59</v>
      </c>
      <c r="R9" s="11">
        <f t="shared" ref="R9:R52" si="6">P9+L9</f>
        <v>238</v>
      </c>
      <c r="S9" s="15">
        <v>0.0945</v>
      </c>
      <c r="T9" s="11">
        <v>975.4</v>
      </c>
      <c r="U9" s="16">
        <f t="shared" ref="U9:U32" si="7">sum(G9,I9,K9,M9,N9,O9,Q9,T9)</f>
        <v>1141.1</v>
      </c>
      <c r="V9" s="4"/>
      <c r="W9" s="17">
        <f t="shared" si="4"/>
        <v>1129.56</v>
      </c>
      <c r="X9" s="4"/>
      <c r="Y9" s="4"/>
      <c r="Z9" s="4"/>
      <c r="AA9" s="4"/>
      <c r="AB9" s="4"/>
      <c r="AC9" s="4"/>
      <c r="AD9" s="4"/>
      <c r="AE9" s="4"/>
      <c r="AF9" s="4"/>
      <c r="AG9" s="4"/>
    </row>
    <row r="10">
      <c r="A10" s="18"/>
      <c r="B10" s="18"/>
      <c r="C10" s="18"/>
      <c r="D10" s="18"/>
      <c r="E10" s="18"/>
      <c r="F10" s="11" t="s">
        <v>23</v>
      </c>
      <c r="G10" s="12">
        <f t="shared" si="5"/>
        <v>11.54</v>
      </c>
      <c r="H10" s="13">
        <v>62.0</v>
      </c>
      <c r="I10" s="13">
        <v>15.41</v>
      </c>
      <c r="J10" s="13">
        <v>2605.0</v>
      </c>
      <c r="K10" s="13">
        <v>56.92</v>
      </c>
      <c r="L10" s="11">
        <v>210.0</v>
      </c>
      <c r="M10" s="11">
        <v>2.12</v>
      </c>
      <c r="N10" s="14">
        <v>3.61</v>
      </c>
      <c r="O10" s="13">
        <v>76.59</v>
      </c>
      <c r="P10" s="11">
        <v>17.0</v>
      </c>
      <c r="Q10" s="11">
        <v>0.6</v>
      </c>
      <c r="R10" s="11">
        <f t="shared" si="6"/>
        <v>227</v>
      </c>
      <c r="S10" s="15">
        <v>0.0901</v>
      </c>
      <c r="T10" s="11">
        <v>931.1</v>
      </c>
      <c r="U10" s="16">
        <f t="shared" si="7"/>
        <v>1097.89</v>
      </c>
      <c r="V10" s="4"/>
      <c r="W10" s="17">
        <f t="shared" si="4"/>
        <v>1086.35</v>
      </c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>
      <c r="A11" s="18"/>
      <c r="B11" s="18"/>
      <c r="C11" s="18"/>
      <c r="D11" s="18"/>
      <c r="E11" s="18"/>
      <c r="F11" s="11" t="s">
        <v>24</v>
      </c>
      <c r="G11" s="12">
        <f t="shared" si="5"/>
        <v>11.54</v>
      </c>
      <c r="H11" s="13">
        <v>62.0</v>
      </c>
      <c r="I11" s="13">
        <v>15.41</v>
      </c>
      <c r="J11" s="13">
        <v>2605.0</v>
      </c>
      <c r="K11" s="13">
        <v>56.92</v>
      </c>
      <c r="L11" s="11">
        <v>234.0</v>
      </c>
      <c r="M11" s="11">
        <v>0.0</v>
      </c>
      <c r="N11" s="14">
        <v>0.01</v>
      </c>
      <c r="O11" s="13">
        <v>76.59</v>
      </c>
      <c r="P11" s="11">
        <v>0.0</v>
      </c>
      <c r="Q11" s="11">
        <v>0.0</v>
      </c>
      <c r="R11" s="11">
        <f t="shared" si="6"/>
        <v>234</v>
      </c>
      <c r="S11" s="15">
        <v>0.0929</v>
      </c>
      <c r="T11" s="11">
        <v>868.64</v>
      </c>
      <c r="U11" s="16">
        <f t="shared" si="7"/>
        <v>1029.11</v>
      </c>
      <c r="V11" s="4"/>
      <c r="W11" s="17">
        <f t="shared" si="4"/>
        <v>1017.57</v>
      </c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>
      <c r="A12" s="19"/>
      <c r="B12" s="19"/>
      <c r="C12" s="19"/>
      <c r="D12" s="19"/>
      <c r="E12" s="19"/>
      <c r="F12" s="11" t="s">
        <v>25</v>
      </c>
      <c r="G12" s="12">
        <f t="shared" si="5"/>
        <v>11.54</v>
      </c>
      <c r="H12" s="13">
        <v>62.0</v>
      </c>
      <c r="I12" s="13">
        <v>15.41</v>
      </c>
      <c r="J12" s="13">
        <v>2605.0</v>
      </c>
      <c r="K12" s="13">
        <v>56.92</v>
      </c>
      <c r="L12" s="11">
        <v>116.0</v>
      </c>
      <c r="M12" s="11">
        <v>49.25</v>
      </c>
      <c r="N12" s="14">
        <v>1.89</v>
      </c>
      <c r="O12" s="13">
        <v>76.59</v>
      </c>
      <c r="P12" s="11">
        <v>49.0</v>
      </c>
      <c r="Q12" s="11">
        <v>1.71</v>
      </c>
      <c r="R12" s="11">
        <f t="shared" si="6"/>
        <v>165</v>
      </c>
      <c r="S12" s="15">
        <v>0.0655</v>
      </c>
      <c r="T12" s="11">
        <v>676.52</v>
      </c>
      <c r="U12" s="16">
        <f t="shared" si="7"/>
        <v>889.83</v>
      </c>
      <c r="V12" s="4"/>
      <c r="W12" s="17">
        <f t="shared" si="4"/>
        <v>878.29</v>
      </c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>
      <c r="A13" s="9">
        <v>641.0</v>
      </c>
      <c r="B13" s="9" t="s">
        <v>19</v>
      </c>
      <c r="C13" s="9" t="s">
        <v>20</v>
      </c>
      <c r="D13" s="9" t="s">
        <v>28</v>
      </c>
      <c r="E13" s="10">
        <v>2766.8</v>
      </c>
      <c r="F13" s="11" t="s">
        <v>22</v>
      </c>
      <c r="G13" s="12">
        <f t="shared" ref="G13:G16" si="8">7.26+4.6</f>
        <v>11.86</v>
      </c>
      <c r="H13" s="13">
        <v>62.0</v>
      </c>
      <c r="I13" s="13">
        <v>5.62</v>
      </c>
      <c r="J13" s="13">
        <v>2860.0</v>
      </c>
      <c r="K13" s="13">
        <v>64.58</v>
      </c>
      <c r="L13" s="11">
        <v>230.0</v>
      </c>
      <c r="M13" s="11">
        <v>1.06</v>
      </c>
      <c r="N13" s="14">
        <v>4.2</v>
      </c>
      <c r="O13" s="13">
        <v>71.32</v>
      </c>
      <c r="P13" s="11">
        <v>28.0</v>
      </c>
      <c r="Q13" s="11">
        <v>0.88</v>
      </c>
      <c r="R13" s="11">
        <f t="shared" si="6"/>
        <v>258</v>
      </c>
      <c r="S13" s="15">
        <v>0.0932</v>
      </c>
      <c r="T13" s="11">
        <v>1059.38</v>
      </c>
      <c r="U13" s="16">
        <f t="shared" si="7"/>
        <v>1218.9</v>
      </c>
      <c r="V13" s="4"/>
      <c r="W13" s="17">
        <f t="shared" si="4"/>
        <v>1207.04</v>
      </c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>
      <c r="A14" s="18"/>
      <c r="B14" s="18"/>
      <c r="C14" s="18"/>
      <c r="D14" s="18"/>
      <c r="E14" s="18"/>
      <c r="F14" s="11" t="s">
        <v>23</v>
      </c>
      <c r="G14" s="12">
        <f t="shared" si="8"/>
        <v>11.86</v>
      </c>
      <c r="H14" s="13">
        <v>62.0</v>
      </c>
      <c r="I14" s="13">
        <v>5.62</v>
      </c>
      <c r="J14" s="13">
        <v>2860.0</v>
      </c>
      <c r="K14" s="13">
        <v>64.58</v>
      </c>
      <c r="L14" s="11">
        <v>218.0</v>
      </c>
      <c r="M14" s="11">
        <v>2.37</v>
      </c>
      <c r="N14" s="14">
        <v>3.85</v>
      </c>
      <c r="O14" s="13">
        <v>71.32</v>
      </c>
      <c r="P14" s="11">
        <v>30.0</v>
      </c>
      <c r="Q14" s="11">
        <v>0.98</v>
      </c>
      <c r="R14" s="11">
        <f t="shared" si="6"/>
        <v>248</v>
      </c>
      <c r="S14" s="15">
        <v>0.0896</v>
      </c>
      <c r="T14" s="11">
        <v>1018.31</v>
      </c>
      <c r="U14" s="16">
        <f t="shared" si="7"/>
        <v>1178.89</v>
      </c>
      <c r="V14" s="4"/>
      <c r="W14" s="17">
        <f t="shared" si="4"/>
        <v>1167.03</v>
      </c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>
      <c r="A15" s="18"/>
      <c r="B15" s="18"/>
      <c r="C15" s="18"/>
      <c r="D15" s="18"/>
      <c r="E15" s="18"/>
      <c r="F15" s="11" t="s">
        <v>24</v>
      </c>
      <c r="G15" s="12">
        <f t="shared" si="8"/>
        <v>11.86</v>
      </c>
      <c r="H15" s="13">
        <v>62.0</v>
      </c>
      <c r="I15" s="13">
        <v>5.62</v>
      </c>
      <c r="J15" s="13">
        <v>2860.0</v>
      </c>
      <c r="K15" s="13">
        <v>64.58</v>
      </c>
      <c r="L15" s="11">
        <v>266.0</v>
      </c>
      <c r="M15" s="11">
        <v>0.0</v>
      </c>
      <c r="N15" s="14">
        <v>0.01</v>
      </c>
      <c r="O15" s="13">
        <v>71.32</v>
      </c>
      <c r="P15" s="11">
        <v>0.0</v>
      </c>
      <c r="Q15" s="11">
        <v>0.0</v>
      </c>
      <c r="R15" s="11">
        <f t="shared" si="6"/>
        <v>266</v>
      </c>
      <c r="S15" s="15">
        <v>0.0961</v>
      </c>
      <c r="T15" s="11">
        <v>993.2</v>
      </c>
      <c r="U15" s="16">
        <f t="shared" si="7"/>
        <v>1146.59</v>
      </c>
      <c r="V15" s="4"/>
      <c r="W15" s="17">
        <f t="shared" si="4"/>
        <v>1134.73</v>
      </c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>
      <c r="A16" s="19"/>
      <c r="B16" s="19"/>
      <c r="C16" s="19"/>
      <c r="D16" s="19"/>
      <c r="E16" s="19"/>
      <c r="F16" s="11" t="s">
        <v>25</v>
      </c>
      <c r="G16" s="12">
        <f t="shared" si="8"/>
        <v>11.86</v>
      </c>
      <c r="H16" s="13">
        <v>62.0</v>
      </c>
      <c r="I16" s="13">
        <v>5.62</v>
      </c>
      <c r="J16" s="13">
        <v>2860.0</v>
      </c>
      <c r="K16" s="13">
        <v>64.58</v>
      </c>
      <c r="L16" s="11">
        <v>84.0</v>
      </c>
      <c r="M16" s="11">
        <v>36.83</v>
      </c>
      <c r="N16" s="14">
        <v>1.44</v>
      </c>
      <c r="O16" s="13">
        <v>71.32</v>
      </c>
      <c r="P16" s="11">
        <v>65.0</v>
      </c>
      <c r="Q16" s="11">
        <v>2.35</v>
      </c>
      <c r="R16" s="11">
        <f t="shared" si="6"/>
        <v>149</v>
      </c>
      <c r="S16" s="15">
        <v>0.0539</v>
      </c>
      <c r="T16" s="11">
        <v>609.7</v>
      </c>
      <c r="U16" s="16">
        <f t="shared" si="7"/>
        <v>803.7</v>
      </c>
      <c r="V16" s="4"/>
      <c r="W16" s="17">
        <f t="shared" si="4"/>
        <v>791.84</v>
      </c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>
      <c r="A17" s="9">
        <v>681.0</v>
      </c>
      <c r="B17" s="9" t="s">
        <v>19</v>
      </c>
      <c r="C17" s="9" t="s">
        <v>20</v>
      </c>
      <c r="D17" s="9" t="s">
        <v>29</v>
      </c>
      <c r="E17" s="10">
        <v>2024.1</v>
      </c>
      <c r="F17" s="11" t="s">
        <v>22</v>
      </c>
      <c r="G17" s="12">
        <f t="shared" ref="G17:G20" si="9">9.04+4.3</f>
        <v>13.34</v>
      </c>
      <c r="H17" s="13">
        <v>62.0</v>
      </c>
      <c r="I17" s="13">
        <v>8.66</v>
      </c>
      <c r="J17" s="13">
        <v>2111.0</v>
      </c>
      <c r="K17" s="13">
        <v>43.15</v>
      </c>
      <c r="L17" s="11">
        <v>173.0</v>
      </c>
      <c r="M17" s="11">
        <v>0.76</v>
      </c>
      <c r="N17" s="14">
        <v>3.38</v>
      </c>
      <c r="O17" s="13">
        <v>71.09</v>
      </c>
      <c r="P17" s="11">
        <v>22.0</v>
      </c>
      <c r="Q17" s="11">
        <v>1.02</v>
      </c>
      <c r="R17" s="11">
        <f t="shared" si="6"/>
        <v>195</v>
      </c>
      <c r="S17" s="15">
        <v>0.0963</v>
      </c>
      <c r="T17" s="11">
        <v>810.64</v>
      </c>
      <c r="U17" s="16">
        <f t="shared" si="7"/>
        <v>952.04</v>
      </c>
      <c r="V17" s="4"/>
      <c r="W17" s="17">
        <f t="shared" si="4"/>
        <v>938.7</v>
      </c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>
      <c r="A18" s="18"/>
      <c r="B18" s="18"/>
      <c r="C18" s="18"/>
      <c r="D18" s="18"/>
      <c r="E18" s="18"/>
      <c r="F18" s="11" t="s">
        <v>23</v>
      </c>
      <c r="G18" s="12">
        <f t="shared" si="9"/>
        <v>13.34</v>
      </c>
      <c r="H18" s="13">
        <v>62.0</v>
      </c>
      <c r="I18" s="13">
        <v>8.66</v>
      </c>
      <c r="J18" s="13">
        <v>2111.0</v>
      </c>
      <c r="K18" s="13">
        <v>43.15</v>
      </c>
      <c r="L18" s="11">
        <v>165.0</v>
      </c>
      <c r="M18" s="11">
        <v>1.69</v>
      </c>
      <c r="N18" s="14">
        <v>3.3</v>
      </c>
      <c r="O18" s="13">
        <v>71.09</v>
      </c>
      <c r="P18" s="11">
        <v>23.0</v>
      </c>
      <c r="Q18" s="11">
        <v>1.04</v>
      </c>
      <c r="R18" s="11">
        <f t="shared" si="6"/>
        <v>188</v>
      </c>
      <c r="S18" s="15">
        <v>0.0929</v>
      </c>
      <c r="T18" s="11">
        <v>781.43</v>
      </c>
      <c r="U18" s="16">
        <f t="shared" si="7"/>
        <v>923.7</v>
      </c>
      <c r="V18" s="4"/>
      <c r="W18" s="17">
        <f t="shared" si="4"/>
        <v>910.36</v>
      </c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>
      <c r="A19" s="18"/>
      <c r="B19" s="18"/>
      <c r="C19" s="18"/>
      <c r="D19" s="18"/>
      <c r="E19" s="18"/>
      <c r="F19" s="11" t="s">
        <v>24</v>
      </c>
      <c r="G19" s="12">
        <f t="shared" si="9"/>
        <v>13.34</v>
      </c>
      <c r="H19" s="13">
        <v>62.0</v>
      </c>
      <c r="I19" s="13">
        <v>8.66</v>
      </c>
      <c r="J19" s="13">
        <v>2111.0</v>
      </c>
      <c r="K19" s="13">
        <v>43.15</v>
      </c>
      <c r="L19" s="11">
        <v>200.0</v>
      </c>
      <c r="M19" s="11">
        <v>0.0</v>
      </c>
      <c r="N19" s="14">
        <v>0.01</v>
      </c>
      <c r="O19" s="13">
        <v>71.09</v>
      </c>
      <c r="P19" s="11">
        <v>0.0</v>
      </c>
      <c r="Q19" s="11">
        <v>0.0</v>
      </c>
      <c r="R19" s="11">
        <f t="shared" si="6"/>
        <v>200</v>
      </c>
      <c r="S19" s="15">
        <v>0.0988</v>
      </c>
      <c r="T19" s="11">
        <v>759.25</v>
      </c>
      <c r="U19" s="16">
        <f t="shared" si="7"/>
        <v>895.5</v>
      </c>
      <c r="V19" s="4"/>
      <c r="W19" s="17">
        <f t="shared" si="4"/>
        <v>882.16</v>
      </c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>
      <c r="A20" s="19"/>
      <c r="B20" s="19"/>
      <c r="C20" s="19"/>
      <c r="D20" s="19"/>
      <c r="E20" s="19"/>
      <c r="F20" s="11" t="s">
        <v>25</v>
      </c>
      <c r="G20" s="12">
        <f t="shared" si="9"/>
        <v>13.34</v>
      </c>
      <c r="H20" s="13">
        <v>62.0</v>
      </c>
      <c r="I20" s="13">
        <v>8.66</v>
      </c>
      <c r="J20" s="13">
        <v>2111.0</v>
      </c>
      <c r="K20" s="13">
        <v>43.15</v>
      </c>
      <c r="L20" s="11">
        <v>101.0</v>
      </c>
      <c r="M20" s="11">
        <v>28.13</v>
      </c>
      <c r="N20" s="14">
        <v>2.18</v>
      </c>
      <c r="O20" s="13">
        <v>71.09</v>
      </c>
      <c r="P20" s="11">
        <v>31.0</v>
      </c>
      <c r="Q20" s="11">
        <v>1.33</v>
      </c>
      <c r="R20" s="11">
        <f t="shared" si="6"/>
        <v>132</v>
      </c>
      <c r="S20" s="15">
        <v>0.0652</v>
      </c>
      <c r="T20" s="11">
        <v>549.57</v>
      </c>
      <c r="U20" s="16">
        <f t="shared" si="7"/>
        <v>717.45</v>
      </c>
      <c r="V20" s="4"/>
      <c r="W20" s="17">
        <f t="shared" si="4"/>
        <v>704.11</v>
      </c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>
      <c r="A21" s="9">
        <v>692.0</v>
      </c>
      <c r="B21" s="9" t="s">
        <v>19</v>
      </c>
      <c r="C21" s="9" t="s">
        <v>30</v>
      </c>
      <c r="D21" s="9" t="s">
        <v>31</v>
      </c>
      <c r="E21" s="10">
        <v>1841.9</v>
      </c>
      <c r="F21" s="11" t="s">
        <v>22</v>
      </c>
      <c r="G21" s="12">
        <f t="shared" ref="G21:G24" si="10">4.21+2.98</f>
        <v>7.19</v>
      </c>
      <c r="H21" s="13">
        <v>62.0</v>
      </c>
      <c r="I21" s="13">
        <v>4.91</v>
      </c>
      <c r="J21" s="13">
        <v>1921.0</v>
      </c>
      <c r="K21" s="13">
        <v>38.84</v>
      </c>
      <c r="L21" s="11">
        <v>184.0</v>
      </c>
      <c r="M21" s="11">
        <v>0.71</v>
      </c>
      <c r="N21" s="14">
        <v>2.61</v>
      </c>
      <c r="O21" s="13">
        <v>38.12</v>
      </c>
      <c r="P21" s="11">
        <v>16.0</v>
      </c>
      <c r="Q21" s="11">
        <v>0.03</v>
      </c>
      <c r="R21" s="11">
        <f t="shared" si="6"/>
        <v>200</v>
      </c>
      <c r="S21" s="15">
        <v>0.1086</v>
      </c>
      <c r="T21" s="11">
        <v>833.93</v>
      </c>
      <c r="U21" s="16">
        <f t="shared" si="7"/>
        <v>926.34</v>
      </c>
      <c r="V21" s="4"/>
      <c r="W21" s="17">
        <f t="shared" si="4"/>
        <v>919.15</v>
      </c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>
      <c r="A22" s="18"/>
      <c r="B22" s="18"/>
      <c r="C22" s="18"/>
      <c r="D22" s="18"/>
      <c r="E22" s="18"/>
      <c r="F22" s="11" t="s">
        <v>23</v>
      </c>
      <c r="G22" s="12">
        <f t="shared" si="10"/>
        <v>7.19</v>
      </c>
      <c r="H22" s="13">
        <v>62.0</v>
      </c>
      <c r="I22" s="13">
        <v>4.91</v>
      </c>
      <c r="J22" s="13">
        <v>1921.0</v>
      </c>
      <c r="K22" s="13">
        <v>38.84</v>
      </c>
      <c r="L22" s="11">
        <v>167.0</v>
      </c>
      <c r="M22" s="11">
        <v>1.59</v>
      </c>
      <c r="N22" s="14">
        <v>2.36</v>
      </c>
      <c r="O22" s="13">
        <v>38.12</v>
      </c>
      <c r="P22" s="11">
        <v>21.0</v>
      </c>
      <c r="Q22" s="11">
        <v>0.03</v>
      </c>
      <c r="R22" s="11">
        <f t="shared" si="6"/>
        <v>188</v>
      </c>
      <c r="S22" s="15">
        <v>0.1021</v>
      </c>
      <c r="T22" s="11">
        <v>784.68</v>
      </c>
      <c r="U22" s="16">
        <f t="shared" si="7"/>
        <v>877.72</v>
      </c>
      <c r="V22" s="4"/>
      <c r="W22" s="17">
        <f t="shared" si="4"/>
        <v>870.53</v>
      </c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>
      <c r="A23" s="18"/>
      <c r="B23" s="18"/>
      <c r="C23" s="18"/>
      <c r="D23" s="18"/>
      <c r="E23" s="18"/>
      <c r="F23" s="11" t="s">
        <v>24</v>
      </c>
      <c r="G23" s="12">
        <f t="shared" si="10"/>
        <v>7.19</v>
      </c>
      <c r="H23" s="13">
        <v>62.0</v>
      </c>
      <c r="I23" s="13">
        <v>4.91</v>
      </c>
      <c r="J23" s="13">
        <v>1921.0</v>
      </c>
      <c r="K23" s="13">
        <v>38.84</v>
      </c>
      <c r="L23" s="11">
        <v>184.0</v>
      </c>
      <c r="M23" s="11">
        <v>0.0</v>
      </c>
      <c r="N23" s="14">
        <v>0.01</v>
      </c>
      <c r="O23" s="13">
        <v>38.12</v>
      </c>
      <c r="P23" s="11">
        <v>0.0</v>
      </c>
      <c r="Q23" s="11">
        <v>0.0</v>
      </c>
      <c r="R23" s="11">
        <f t="shared" si="6"/>
        <v>184</v>
      </c>
      <c r="S23" s="15">
        <v>0.0999</v>
      </c>
      <c r="T23" s="11">
        <v>702.38</v>
      </c>
      <c r="U23" s="16">
        <f t="shared" si="7"/>
        <v>791.45</v>
      </c>
      <c r="V23" s="4"/>
      <c r="W23" s="17">
        <f t="shared" si="4"/>
        <v>784.26</v>
      </c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>
      <c r="A24" s="19"/>
      <c r="B24" s="19"/>
      <c r="C24" s="19"/>
      <c r="D24" s="19"/>
      <c r="E24" s="19"/>
      <c r="F24" s="11" t="s">
        <v>25</v>
      </c>
      <c r="G24" s="12">
        <f t="shared" si="10"/>
        <v>7.19</v>
      </c>
      <c r="H24" s="13">
        <v>62.0</v>
      </c>
      <c r="I24" s="13">
        <v>4.91</v>
      </c>
      <c r="J24" s="13">
        <v>1921.0</v>
      </c>
      <c r="K24" s="13">
        <v>38.84</v>
      </c>
      <c r="L24" s="11">
        <v>72.0</v>
      </c>
      <c r="M24" s="11">
        <v>20.43</v>
      </c>
      <c r="N24" s="14">
        <v>1.1</v>
      </c>
      <c r="O24" s="13">
        <v>38.12</v>
      </c>
      <c r="P24" s="11">
        <v>38.0</v>
      </c>
      <c r="Q24" s="11">
        <v>1.21</v>
      </c>
      <c r="R24" s="11">
        <f t="shared" si="6"/>
        <v>110</v>
      </c>
      <c r="S24" s="15">
        <v>0.0597</v>
      </c>
      <c r="T24" s="11">
        <v>458.42</v>
      </c>
      <c r="U24" s="16">
        <f t="shared" si="7"/>
        <v>570.22</v>
      </c>
      <c r="V24" s="4"/>
      <c r="W24" s="17">
        <f t="shared" si="4"/>
        <v>563.03</v>
      </c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>
      <c r="A25" s="9">
        <v>702.0</v>
      </c>
      <c r="B25" s="9" t="s">
        <v>19</v>
      </c>
      <c r="C25" s="9" t="s">
        <v>30</v>
      </c>
      <c r="D25" s="9" t="s">
        <v>32</v>
      </c>
      <c r="E25" s="10">
        <v>2104.6</v>
      </c>
      <c r="F25" s="11" t="s">
        <v>22</v>
      </c>
      <c r="G25" s="12">
        <f t="shared" ref="G25:G28" si="11">7.56+3.18</f>
        <v>10.74</v>
      </c>
      <c r="H25" s="13">
        <v>62.0</v>
      </c>
      <c r="I25" s="13">
        <v>4.81</v>
      </c>
      <c r="J25" s="13">
        <v>2194.0</v>
      </c>
      <c r="K25" s="13">
        <v>43.74</v>
      </c>
      <c r="L25" s="11">
        <v>37.0</v>
      </c>
      <c r="M25" s="11">
        <v>0.8</v>
      </c>
      <c r="N25" s="14">
        <v>0.33</v>
      </c>
      <c r="O25" s="13">
        <v>70.0</v>
      </c>
      <c r="P25" s="11">
        <v>59.0</v>
      </c>
      <c r="Q25" s="11">
        <v>1.35</v>
      </c>
      <c r="R25" s="11">
        <f t="shared" si="6"/>
        <v>96</v>
      </c>
      <c r="S25" s="15">
        <v>0.0456</v>
      </c>
      <c r="T25" s="11">
        <v>399.09</v>
      </c>
      <c r="U25" s="16">
        <f t="shared" si="7"/>
        <v>530.86</v>
      </c>
      <c r="V25" s="4"/>
      <c r="W25" s="17">
        <f t="shared" si="4"/>
        <v>520.12</v>
      </c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>
      <c r="A26" s="18"/>
      <c r="B26" s="18"/>
      <c r="C26" s="18"/>
      <c r="D26" s="18"/>
      <c r="E26" s="18"/>
      <c r="F26" s="11" t="s">
        <v>23</v>
      </c>
      <c r="G26" s="12">
        <f t="shared" si="11"/>
        <v>10.74</v>
      </c>
      <c r="H26" s="13">
        <v>62.0</v>
      </c>
      <c r="I26" s="13">
        <v>4.81</v>
      </c>
      <c r="J26" s="13">
        <v>2194.0</v>
      </c>
      <c r="K26" s="13">
        <v>43.74</v>
      </c>
      <c r="L26" s="11">
        <v>37.0</v>
      </c>
      <c r="M26" s="11">
        <v>1.81</v>
      </c>
      <c r="N26" s="14">
        <v>0.34</v>
      </c>
      <c r="O26" s="13">
        <v>70.0</v>
      </c>
      <c r="P26" s="11">
        <v>59.0</v>
      </c>
      <c r="Q26" s="11">
        <v>1.36</v>
      </c>
      <c r="R26" s="11">
        <f t="shared" si="6"/>
        <v>96</v>
      </c>
      <c r="S26" s="15">
        <v>0.0456</v>
      </c>
      <c r="T26" s="11">
        <v>399.0</v>
      </c>
      <c r="U26" s="16">
        <f t="shared" si="7"/>
        <v>531.8</v>
      </c>
      <c r="V26" s="4"/>
      <c r="W26" s="17">
        <f t="shared" si="4"/>
        <v>521.06</v>
      </c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>
      <c r="A27" s="18"/>
      <c r="B27" s="18"/>
      <c r="C27" s="18"/>
      <c r="D27" s="18"/>
      <c r="E27" s="18"/>
      <c r="F27" s="11" t="s">
        <v>24</v>
      </c>
      <c r="G27" s="12">
        <f t="shared" si="11"/>
        <v>10.74</v>
      </c>
      <c r="H27" s="13">
        <v>62.0</v>
      </c>
      <c r="I27" s="13">
        <v>4.81</v>
      </c>
      <c r="J27" s="13">
        <v>2194.0</v>
      </c>
      <c r="K27" s="13">
        <v>43.74</v>
      </c>
      <c r="L27" s="11">
        <v>181.0</v>
      </c>
      <c r="M27" s="11">
        <v>0.0</v>
      </c>
      <c r="N27" s="14">
        <v>0.01</v>
      </c>
      <c r="O27" s="13">
        <v>70.0</v>
      </c>
      <c r="P27" s="11">
        <v>0.0</v>
      </c>
      <c r="Q27" s="11">
        <v>0.0</v>
      </c>
      <c r="R27" s="11">
        <f t="shared" si="6"/>
        <v>181</v>
      </c>
      <c r="S27" s="15">
        <v>0.086</v>
      </c>
      <c r="T27" s="11">
        <v>692.51</v>
      </c>
      <c r="U27" s="16">
        <f t="shared" si="7"/>
        <v>821.81</v>
      </c>
      <c r="V27" s="4"/>
      <c r="W27" s="17">
        <f t="shared" si="4"/>
        <v>811.07</v>
      </c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>
      <c r="A28" s="19"/>
      <c r="B28" s="19"/>
      <c r="C28" s="19"/>
      <c r="D28" s="19"/>
      <c r="E28" s="19"/>
      <c r="F28" s="11" t="s">
        <v>25</v>
      </c>
      <c r="G28" s="12">
        <f t="shared" si="11"/>
        <v>10.74</v>
      </c>
      <c r="H28" s="13">
        <v>62.0</v>
      </c>
      <c r="I28" s="13">
        <v>4.81</v>
      </c>
      <c r="J28" s="13">
        <v>2194.0</v>
      </c>
      <c r="K28" s="13">
        <v>43.74</v>
      </c>
      <c r="L28" s="11">
        <v>29.0</v>
      </c>
      <c r="M28" s="11">
        <v>8.83</v>
      </c>
      <c r="N28" s="14">
        <v>0.26</v>
      </c>
      <c r="O28" s="13">
        <v>70.0</v>
      </c>
      <c r="P28" s="11">
        <v>61.0</v>
      </c>
      <c r="Q28" s="11">
        <v>1.36</v>
      </c>
      <c r="R28" s="11">
        <f t="shared" si="6"/>
        <v>90</v>
      </c>
      <c r="S28" s="15">
        <v>0.0428</v>
      </c>
      <c r="T28" s="11">
        <v>374.77</v>
      </c>
      <c r="U28" s="16">
        <f t="shared" si="7"/>
        <v>514.51</v>
      </c>
      <c r="V28" s="4"/>
      <c r="W28" s="17">
        <f t="shared" si="4"/>
        <v>503.77</v>
      </c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>
      <c r="A29" s="9">
        <v>711.0</v>
      </c>
      <c r="B29" s="9" t="s">
        <v>19</v>
      </c>
      <c r="C29" s="9" t="s">
        <v>30</v>
      </c>
      <c r="D29" s="9" t="s">
        <v>33</v>
      </c>
      <c r="E29" s="10">
        <v>2546.0</v>
      </c>
      <c r="F29" s="11" t="s">
        <v>22</v>
      </c>
      <c r="G29" s="12">
        <f t="shared" ref="G29:G32" si="12">26.99+4.23</f>
        <v>31.22</v>
      </c>
      <c r="H29" s="13">
        <v>62.0</v>
      </c>
      <c r="I29" s="13">
        <v>4.86</v>
      </c>
      <c r="J29" s="13">
        <v>2546.0</v>
      </c>
      <c r="K29" s="13">
        <v>53.03</v>
      </c>
      <c r="L29" s="11">
        <v>224.0</v>
      </c>
      <c r="M29" s="11">
        <v>0.93</v>
      </c>
      <c r="N29" s="14">
        <v>3.22</v>
      </c>
      <c r="O29" s="13">
        <v>75.06</v>
      </c>
      <c r="P29" s="11">
        <v>24.0</v>
      </c>
      <c r="Q29" s="11">
        <v>0.81</v>
      </c>
      <c r="R29" s="11">
        <f t="shared" si="6"/>
        <v>248</v>
      </c>
      <c r="S29" s="15">
        <v>0.0974</v>
      </c>
      <c r="T29" s="11">
        <v>1036.03</v>
      </c>
      <c r="U29" s="16">
        <f t="shared" si="7"/>
        <v>1205.16</v>
      </c>
      <c r="V29" s="4"/>
      <c r="W29" s="17">
        <f t="shared" si="4"/>
        <v>1173.94</v>
      </c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>
      <c r="A30" s="18"/>
      <c r="B30" s="18"/>
      <c r="C30" s="18"/>
      <c r="D30" s="18"/>
      <c r="E30" s="18"/>
      <c r="F30" s="11" t="s">
        <v>23</v>
      </c>
      <c r="G30" s="12">
        <f t="shared" si="12"/>
        <v>31.22</v>
      </c>
      <c r="H30" s="13">
        <v>62.0</v>
      </c>
      <c r="I30" s="13">
        <v>4.86</v>
      </c>
      <c r="J30" s="13">
        <v>2546.0</v>
      </c>
      <c r="K30" s="13">
        <v>53.03</v>
      </c>
      <c r="L30" s="11">
        <v>206.0</v>
      </c>
      <c r="M30" s="11">
        <v>2.11</v>
      </c>
      <c r="N30" s="14">
        <v>3.1</v>
      </c>
      <c r="O30" s="13">
        <v>75.06</v>
      </c>
      <c r="P30" s="11">
        <v>25.0</v>
      </c>
      <c r="Q30" s="11">
        <v>0.83</v>
      </c>
      <c r="R30" s="11">
        <f t="shared" si="6"/>
        <v>231</v>
      </c>
      <c r="S30" s="15">
        <v>0.0907</v>
      </c>
      <c r="T30" s="11">
        <v>964.92</v>
      </c>
      <c r="U30" s="16">
        <f t="shared" si="7"/>
        <v>1135.13</v>
      </c>
      <c r="V30" s="4"/>
      <c r="W30" s="17">
        <f t="shared" si="4"/>
        <v>1103.91</v>
      </c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>
      <c r="A31" s="18"/>
      <c r="B31" s="18"/>
      <c r="C31" s="18"/>
      <c r="D31" s="18"/>
      <c r="E31" s="18"/>
      <c r="F31" s="11" t="s">
        <v>24</v>
      </c>
      <c r="G31" s="12">
        <f t="shared" si="12"/>
        <v>31.22</v>
      </c>
      <c r="H31" s="13">
        <v>62.0</v>
      </c>
      <c r="I31" s="13">
        <v>4.86</v>
      </c>
      <c r="J31" s="13">
        <v>2546.0</v>
      </c>
      <c r="K31" s="13">
        <v>53.03</v>
      </c>
      <c r="L31" s="11">
        <v>247.0</v>
      </c>
      <c r="M31" s="11">
        <v>0.0</v>
      </c>
      <c r="N31" s="14">
        <v>0.01</v>
      </c>
      <c r="O31" s="13">
        <v>75.06</v>
      </c>
      <c r="P31" s="11">
        <v>0.0</v>
      </c>
      <c r="Q31" s="11">
        <v>0.0</v>
      </c>
      <c r="R31" s="11">
        <f t="shared" si="6"/>
        <v>247</v>
      </c>
      <c r="S31" s="15">
        <v>0.097</v>
      </c>
      <c r="T31" s="11">
        <v>939.82</v>
      </c>
      <c r="U31" s="16">
        <f t="shared" si="7"/>
        <v>1104</v>
      </c>
      <c r="V31" s="4"/>
      <c r="W31" s="17">
        <f t="shared" si="4"/>
        <v>1072.78</v>
      </c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>
      <c r="A32" s="19"/>
      <c r="B32" s="19"/>
      <c r="C32" s="19"/>
      <c r="D32" s="19"/>
      <c r="E32" s="19"/>
      <c r="F32" s="11" t="s">
        <v>25</v>
      </c>
      <c r="G32" s="12">
        <f t="shared" si="12"/>
        <v>31.22</v>
      </c>
      <c r="H32" s="13">
        <v>62.0</v>
      </c>
      <c r="I32" s="13">
        <v>4.86</v>
      </c>
      <c r="J32" s="13">
        <v>2546.0</v>
      </c>
      <c r="K32" s="13">
        <v>53.03</v>
      </c>
      <c r="L32" s="11">
        <v>77.0</v>
      </c>
      <c r="M32" s="11">
        <v>25.61</v>
      </c>
      <c r="N32" s="14">
        <v>1.16</v>
      </c>
      <c r="O32" s="13">
        <v>75.06</v>
      </c>
      <c r="P32" s="11">
        <v>55.0</v>
      </c>
      <c r="Q32" s="11">
        <v>1.95</v>
      </c>
      <c r="R32" s="11">
        <f t="shared" si="6"/>
        <v>132</v>
      </c>
      <c r="S32" s="15">
        <v>0.0518</v>
      </c>
      <c r="T32" s="11">
        <v>552.73</v>
      </c>
      <c r="U32" s="16">
        <f t="shared" si="7"/>
        <v>745.62</v>
      </c>
      <c r="V32" s="4"/>
      <c r="W32" s="17">
        <f t="shared" si="4"/>
        <v>714.4</v>
      </c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>
      <c r="A33" s="9">
        <v>721.0</v>
      </c>
      <c r="B33" s="9" t="s">
        <v>19</v>
      </c>
      <c r="C33" s="9" t="s">
        <v>30</v>
      </c>
      <c r="D33" s="9" t="s">
        <v>34</v>
      </c>
      <c r="E33" s="10">
        <v>2656.5</v>
      </c>
      <c r="F33" s="11" t="s">
        <v>22</v>
      </c>
      <c r="G33" s="12">
        <f t="shared" ref="G33:G36" si="13">17.04+4.95</f>
        <v>21.99</v>
      </c>
      <c r="H33" s="13">
        <v>62.0</v>
      </c>
      <c r="I33" s="13">
        <v>14.24</v>
      </c>
      <c r="J33" s="13">
        <v>2657.0</v>
      </c>
      <c r="K33" s="13">
        <v>61.41</v>
      </c>
      <c r="L33" s="11">
        <v>232.0</v>
      </c>
      <c r="M33" s="11">
        <v>0.99</v>
      </c>
      <c r="N33" s="14">
        <v>5.2</v>
      </c>
      <c r="O33" s="13">
        <v>103.51</v>
      </c>
      <c r="P33" s="11">
        <v>27.0</v>
      </c>
      <c r="Q33" s="11">
        <v>1.14</v>
      </c>
      <c r="R33" s="21">
        <f t="shared" si="6"/>
        <v>259</v>
      </c>
      <c r="S33" s="15">
        <v>0.0975</v>
      </c>
      <c r="T33" s="11">
        <v>1060.03</v>
      </c>
      <c r="U33" s="22">
        <f t="shared" ref="U33:U52" si="14">sum(I33,K33,M33,O33,T33)</f>
        <v>1240.18</v>
      </c>
      <c r="V33" s="4"/>
      <c r="W33" s="4">
        <f t="shared" si="4"/>
        <v>1218.19</v>
      </c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>
      <c r="A34" s="18"/>
      <c r="B34" s="18"/>
      <c r="C34" s="18"/>
      <c r="D34" s="18"/>
      <c r="E34" s="18"/>
      <c r="F34" s="11" t="s">
        <v>23</v>
      </c>
      <c r="G34" s="12">
        <f t="shared" si="13"/>
        <v>21.99</v>
      </c>
      <c r="H34" s="13">
        <v>62.0</v>
      </c>
      <c r="I34" s="13">
        <v>14.24</v>
      </c>
      <c r="J34" s="13">
        <v>2657.0</v>
      </c>
      <c r="K34" s="13">
        <v>61.41</v>
      </c>
      <c r="L34" s="11">
        <v>224.0</v>
      </c>
      <c r="M34" s="11">
        <v>2.25</v>
      </c>
      <c r="N34" s="14">
        <v>5.02</v>
      </c>
      <c r="O34" s="13">
        <v>103.51</v>
      </c>
      <c r="P34" s="11">
        <v>28.0</v>
      </c>
      <c r="Q34" s="11">
        <v>1.18</v>
      </c>
      <c r="R34" s="11">
        <f t="shared" si="6"/>
        <v>252</v>
      </c>
      <c r="S34" s="15">
        <v>0.0949</v>
      </c>
      <c r="T34" s="11">
        <v>1030.28</v>
      </c>
      <c r="U34" s="22">
        <f t="shared" si="14"/>
        <v>1211.69</v>
      </c>
      <c r="V34" s="4"/>
      <c r="W34" s="4">
        <f t="shared" si="4"/>
        <v>1189.7</v>
      </c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>
      <c r="A35" s="18"/>
      <c r="B35" s="18"/>
      <c r="C35" s="18"/>
      <c r="D35" s="18"/>
      <c r="E35" s="18"/>
      <c r="F35" s="11" t="s">
        <v>24</v>
      </c>
      <c r="G35" s="12">
        <f t="shared" si="13"/>
        <v>21.99</v>
      </c>
      <c r="H35" s="13">
        <v>62.0</v>
      </c>
      <c r="I35" s="13">
        <v>14.24</v>
      </c>
      <c r="J35" s="13">
        <v>2657.0</v>
      </c>
      <c r="K35" s="13">
        <v>61.41</v>
      </c>
      <c r="L35" s="11">
        <v>263.0</v>
      </c>
      <c r="M35" s="11">
        <v>0.0</v>
      </c>
      <c r="N35" s="14">
        <v>0.02</v>
      </c>
      <c r="O35" s="13">
        <v>103.51</v>
      </c>
      <c r="P35" s="11">
        <v>0.0</v>
      </c>
      <c r="Q35" s="11">
        <v>0.0</v>
      </c>
      <c r="R35" s="21">
        <f t="shared" si="6"/>
        <v>263</v>
      </c>
      <c r="S35" s="15">
        <v>0.099</v>
      </c>
      <c r="T35" s="11">
        <v>974.16</v>
      </c>
      <c r="U35" s="22">
        <f t="shared" si="14"/>
        <v>1153.32</v>
      </c>
      <c r="V35" s="4"/>
      <c r="W35" s="4">
        <f t="shared" si="4"/>
        <v>1131.33</v>
      </c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>
      <c r="A36" s="19"/>
      <c r="B36" s="19"/>
      <c r="C36" s="19"/>
      <c r="D36" s="19"/>
      <c r="E36" s="19"/>
      <c r="F36" s="11" t="s">
        <v>25</v>
      </c>
      <c r="G36" s="12">
        <f t="shared" si="13"/>
        <v>21.99</v>
      </c>
      <c r="H36" s="13">
        <v>62.0</v>
      </c>
      <c r="I36" s="13">
        <v>14.24</v>
      </c>
      <c r="J36" s="13">
        <v>2657.0</v>
      </c>
      <c r="K36" s="13">
        <v>61.41</v>
      </c>
      <c r="L36" s="11">
        <v>93.0</v>
      </c>
      <c r="M36" s="11">
        <v>49.06</v>
      </c>
      <c r="N36" s="14">
        <v>2.24</v>
      </c>
      <c r="O36" s="13">
        <v>103.51</v>
      </c>
      <c r="P36" s="11">
        <v>53.0</v>
      </c>
      <c r="Q36" s="11">
        <v>2.16</v>
      </c>
      <c r="R36" s="21">
        <f t="shared" si="6"/>
        <v>146</v>
      </c>
      <c r="S36" s="15">
        <v>0.055</v>
      </c>
      <c r="T36" s="11">
        <v>598.81</v>
      </c>
      <c r="U36" s="22">
        <f t="shared" si="14"/>
        <v>827.03</v>
      </c>
      <c r="V36" s="4"/>
      <c r="W36" s="4">
        <f t="shared" si="4"/>
        <v>805.04</v>
      </c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>
      <c r="A37" s="9">
        <v>821.0</v>
      </c>
      <c r="B37" s="9" t="s">
        <v>19</v>
      </c>
      <c r="C37" s="9" t="s">
        <v>35</v>
      </c>
      <c r="D37" s="9" t="s">
        <v>36</v>
      </c>
      <c r="E37" s="10">
        <v>2370.3</v>
      </c>
      <c r="F37" s="11" t="s">
        <v>22</v>
      </c>
      <c r="G37" s="12">
        <f t="shared" ref="G37:G40" si="15">10.38+3.75</f>
        <v>14.13</v>
      </c>
      <c r="H37" s="13">
        <v>62.0</v>
      </c>
      <c r="I37" s="13">
        <v>5.57</v>
      </c>
      <c r="J37" s="13">
        <v>2371.0</v>
      </c>
      <c r="K37" s="13">
        <v>54.02</v>
      </c>
      <c r="L37" s="11">
        <v>12.0</v>
      </c>
      <c r="M37" s="11">
        <v>0.91</v>
      </c>
      <c r="N37" s="14">
        <v>0.27</v>
      </c>
      <c r="O37" s="13">
        <v>87.8</v>
      </c>
      <c r="P37" s="11">
        <v>71.0</v>
      </c>
      <c r="Q37" s="11">
        <v>2.83</v>
      </c>
      <c r="R37" s="11">
        <f t="shared" si="6"/>
        <v>83</v>
      </c>
      <c r="S37" s="15">
        <v>0.035</v>
      </c>
      <c r="T37" s="11">
        <v>342.43</v>
      </c>
      <c r="U37" s="22">
        <f t="shared" si="14"/>
        <v>490.73</v>
      </c>
      <c r="V37" s="4"/>
      <c r="W37" s="4">
        <f t="shared" si="4"/>
        <v>476.6</v>
      </c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>
      <c r="A38" s="18"/>
      <c r="B38" s="18"/>
      <c r="C38" s="18"/>
      <c r="D38" s="18"/>
      <c r="E38" s="18"/>
      <c r="F38" s="11" t="s">
        <v>23</v>
      </c>
      <c r="G38" s="12">
        <f t="shared" si="15"/>
        <v>14.13</v>
      </c>
      <c r="H38" s="13">
        <v>62.0</v>
      </c>
      <c r="I38" s="13">
        <v>5.57</v>
      </c>
      <c r="J38" s="13">
        <v>2371.0</v>
      </c>
      <c r="K38" s="13">
        <v>54.02</v>
      </c>
      <c r="L38" s="11">
        <v>12.0</v>
      </c>
      <c r="M38" s="11">
        <v>1.99</v>
      </c>
      <c r="N38" s="14">
        <v>0.27</v>
      </c>
      <c r="O38" s="13">
        <v>87.8</v>
      </c>
      <c r="P38" s="11">
        <v>71.0</v>
      </c>
      <c r="Q38" s="11">
        <v>2.84</v>
      </c>
      <c r="R38" s="21">
        <f t="shared" si="6"/>
        <v>83</v>
      </c>
      <c r="S38" s="15">
        <v>0.035</v>
      </c>
      <c r="T38" s="11">
        <v>342.2</v>
      </c>
      <c r="U38" s="22">
        <f t="shared" si="14"/>
        <v>491.58</v>
      </c>
      <c r="V38" s="4"/>
      <c r="W38" s="4">
        <f t="shared" si="4"/>
        <v>477.45</v>
      </c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>
      <c r="A39" s="18"/>
      <c r="B39" s="18"/>
      <c r="C39" s="18"/>
      <c r="D39" s="18"/>
      <c r="E39" s="18"/>
      <c r="F39" s="11" t="s">
        <v>24</v>
      </c>
      <c r="G39" s="12">
        <f t="shared" si="15"/>
        <v>14.13</v>
      </c>
      <c r="H39" s="13">
        <v>62.0</v>
      </c>
      <c r="I39" s="13">
        <v>5.57</v>
      </c>
      <c r="J39" s="13">
        <v>2371.0</v>
      </c>
      <c r="K39" s="13">
        <v>54.02</v>
      </c>
      <c r="L39" s="11">
        <v>233.0</v>
      </c>
      <c r="M39" s="11">
        <v>0.0</v>
      </c>
      <c r="N39" s="14">
        <v>0.01</v>
      </c>
      <c r="O39" s="13">
        <v>87.8</v>
      </c>
      <c r="P39" s="11">
        <v>0.0</v>
      </c>
      <c r="Q39" s="11">
        <v>0.0</v>
      </c>
      <c r="R39" s="21">
        <f t="shared" si="6"/>
        <v>233</v>
      </c>
      <c r="S39" s="15">
        <v>0.0983</v>
      </c>
      <c r="T39" s="11">
        <v>863.8</v>
      </c>
      <c r="U39" s="22">
        <f t="shared" si="14"/>
        <v>1011.19</v>
      </c>
      <c r="V39" s="4"/>
      <c r="W39" s="4">
        <f t="shared" si="4"/>
        <v>997.06</v>
      </c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>
      <c r="A40" s="19"/>
      <c r="B40" s="19"/>
      <c r="C40" s="19"/>
      <c r="D40" s="19"/>
      <c r="E40" s="19"/>
      <c r="F40" s="11" t="s">
        <v>25</v>
      </c>
      <c r="G40" s="12">
        <f t="shared" si="15"/>
        <v>14.13</v>
      </c>
      <c r="H40" s="13">
        <v>62.0</v>
      </c>
      <c r="I40" s="13">
        <v>5.57</v>
      </c>
      <c r="J40" s="13">
        <v>2371.0</v>
      </c>
      <c r="K40" s="13">
        <v>54.02</v>
      </c>
      <c r="L40" s="11">
        <v>12.0</v>
      </c>
      <c r="M40" s="11">
        <v>4.49</v>
      </c>
      <c r="N40" s="14">
        <v>0.27</v>
      </c>
      <c r="O40" s="13">
        <v>87.8</v>
      </c>
      <c r="P40" s="11">
        <v>74.0</v>
      </c>
      <c r="Q40" s="11">
        <v>2.99</v>
      </c>
      <c r="R40" s="11">
        <f t="shared" si="6"/>
        <v>86</v>
      </c>
      <c r="S40" s="15">
        <v>0.0363</v>
      </c>
      <c r="T40" s="11">
        <v>354.14</v>
      </c>
      <c r="U40" s="22">
        <f t="shared" si="14"/>
        <v>506.02</v>
      </c>
      <c r="V40" s="4"/>
      <c r="W40" s="4">
        <f t="shared" si="4"/>
        <v>491.89</v>
      </c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>
      <c r="A41" s="9">
        <v>831.0</v>
      </c>
      <c r="B41" s="9" t="s">
        <v>19</v>
      </c>
      <c r="C41" s="9" t="s">
        <v>35</v>
      </c>
      <c r="D41" s="9" t="s">
        <v>37</v>
      </c>
      <c r="E41" s="10">
        <v>1863.2</v>
      </c>
      <c r="F41" s="11" t="s">
        <v>22</v>
      </c>
      <c r="G41" s="12">
        <f t="shared" ref="G41:G44" si="16">17.98+3.51</f>
        <v>21.49</v>
      </c>
      <c r="H41" s="13">
        <v>62.0</v>
      </c>
      <c r="I41" s="13">
        <v>18.75</v>
      </c>
      <c r="J41" s="13">
        <v>1926.0</v>
      </c>
      <c r="K41" s="13">
        <v>44.23</v>
      </c>
      <c r="L41" s="11">
        <v>101.0</v>
      </c>
      <c r="M41" s="11">
        <v>0.7</v>
      </c>
      <c r="N41" s="14">
        <v>2.44</v>
      </c>
      <c r="O41" s="13">
        <v>60.01</v>
      </c>
      <c r="P41" s="11">
        <v>31.0</v>
      </c>
      <c r="Q41" s="11">
        <v>1.51</v>
      </c>
      <c r="R41" s="11">
        <f t="shared" si="6"/>
        <v>132</v>
      </c>
      <c r="S41" s="15">
        <v>0.0708</v>
      </c>
      <c r="T41" s="11">
        <v>554.78</v>
      </c>
      <c r="U41" s="22">
        <f t="shared" si="14"/>
        <v>678.47</v>
      </c>
      <c r="V41" s="4"/>
      <c r="W41" s="4">
        <f t="shared" si="4"/>
        <v>656.98</v>
      </c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>
      <c r="A42" s="18"/>
      <c r="B42" s="18"/>
      <c r="C42" s="18"/>
      <c r="D42" s="18"/>
      <c r="E42" s="18"/>
      <c r="F42" s="11" t="s">
        <v>23</v>
      </c>
      <c r="G42" s="12">
        <f t="shared" si="16"/>
        <v>21.49</v>
      </c>
      <c r="H42" s="13">
        <v>62.0</v>
      </c>
      <c r="I42" s="13">
        <v>18.75</v>
      </c>
      <c r="J42" s="13">
        <v>1926.0</v>
      </c>
      <c r="K42" s="13">
        <v>44.23</v>
      </c>
      <c r="L42" s="11">
        <v>100.0</v>
      </c>
      <c r="M42" s="11">
        <v>1.56</v>
      </c>
      <c r="N42" s="14">
        <v>2.4</v>
      </c>
      <c r="O42" s="13">
        <v>60.01</v>
      </c>
      <c r="P42" s="11">
        <v>31.0</v>
      </c>
      <c r="Q42" s="11">
        <v>1.53</v>
      </c>
      <c r="R42" s="21">
        <f t="shared" si="6"/>
        <v>131</v>
      </c>
      <c r="S42" s="15">
        <v>0.0703</v>
      </c>
      <c r="T42" s="11">
        <v>549.5</v>
      </c>
      <c r="U42" s="22">
        <f t="shared" si="14"/>
        <v>674.05</v>
      </c>
      <c r="V42" s="4"/>
      <c r="W42" s="4">
        <f t="shared" si="4"/>
        <v>652.56</v>
      </c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>
      <c r="A43" s="18"/>
      <c r="B43" s="18"/>
      <c r="C43" s="18"/>
      <c r="D43" s="18"/>
      <c r="E43" s="18"/>
      <c r="F43" s="11" t="s">
        <v>24</v>
      </c>
      <c r="G43" s="12">
        <f t="shared" si="16"/>
        <v>21.49</v>
      </c>
      <c r="H43" s="13">
        <v>62.0</v>
      </c>
      <c r="I43" s="13">
        <v>18.75</v>
      </c>
      <c r="J43" s="13">
        <v>1926.0</v>
      </c>
      <c r="K43" s="13">
        <v>44.23</v>
      </c>
      <c r="L43" s="11">
        <v>157.0</v>
      </c>
      <c r="M43" s="11">
        <v>0.0</v>
      </c>
      <c r="N43" s="14">
        <v>0.01</v>
      </c>
      <c r="O43" s="13">
        <v>60.01</v>
      </c>
      <c r="P43" s="11">
        <v>0.0</v>
      </c>
      <c r="Q43" s="11">
        <v>0.0</v>
      </c>
      <c r="R43" s="21">
        <f t="shared" si="6"/>
        <v>157</v>
      </c>
      <c r="S43" s="15">
        <v>0.0843</v>
      </c>
      <c r="T43" s="11">
        <v>595.49</v>
      </c>
      <c r="U43" s="22">
        <f t="shared" si="14"/>
        <v>718.48</v>
      </c>
      <c r="V43" s="4"/>
      <c r="W43" s="4">
        <f t="shared" si="4"/>
        <v>696.99</v>
      </c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>
      <c r="A44" s="19"/>
      <c r="B44" s="19"/>
      <c r="C44" s="19"/>
      <c r="D44" s="19"/>
      <c r="E44" s="19"/>
      <c r="F44" s="11" t="s">
        <v>25</v>
      </c>
      <c r="G44" s="12">
        <f t="shared" si="16"/>
        <v>21.49</v>
      </c>
      <c r="H44" s="13">
        <v>62.0</v>
      </c>
      <c r="I44" s="13">
        <v>18.75</v>
      </c>
      <c r="J44" s="13">
        <v>1926.0</v>
      </c>
      <c r="K44" s="13">
        <v>44.23</v>
      </c>
      <c r="L44" s="11">
        <v>66.0</v>
      </c>
      <c r="M44" s="11">
        <v>16.27</v>
      </c>
      <c r="N44" s="14">
        <v>1.55</v>
      </c>
      <c r="O44" s="13">
        <v>60.01</v>
      </c>
      <c r="P44" s="11">
        <v>38.0</v>
      </c>
      <c r="Q44" s="11">
        <v>1.95</v>
      </c>
      <c r="R44" s="11">
        <f t="shared" si="6"/>
        <v>104</v>
      </c>
      <c r="S44" s="15">
        <v>0.0558</v>
      </c>
      <c r="T44" s="11">
        <v>432.15</v>
      </c>
      <c r="U44" s="22">
        <f t="shared" si="14"/>
        <v>571.41</v>
      </c>
      <c r="V44" s="4"/>
      <c r="W44" s="4">
        <f t="shared" si="4"/>
        <v>549.92</v>
      </c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>
      <c r="A45" s="9">
        <v>854.0</v>
      </c>
      <c r="B45" s="9" t="s">
        <v>19</v>
      </c>
      <c r="C45" s="9" t="s">
        <v>35</v>
      </c>
      <c r="D45" s="9" t="s">
        <v>38</v>
      </c>
      <c r="E45" s="10">
        <v>1995.3</v>
      </c>
      <c r="F45" s="11" t="s">
        <v>22</v>
      </c>
      <c r="G45" s="12">
        <f t="shared" ref="G45:G48" si="17">4.98+3.4</f>
        <v>8.38</v>
      </c>
      <c r="H45" s="13">
        <v>62.0</v>
      </c>
      <c r="I45" s="13">
        <v>5.46</v>
      </c>
      <c r="J45" s="13">
        <v>2063.0</v>
      </c>
      <c r="K45" s="13">
        <v>46.24</v>
      </c>
      <c r="L45" s="11">
        <v>103.0</v>
      </c>
      <c r="M45" s="11">
        <v>0.76</v>
      </c>
      <c r="N45" s="14">
        <v>1.91</v>
      </c>
      <c r="O45" s="13">
        <v>131.43</v>
      </c>
      <c r="P45" s="11">
        <v>41.0</v>
      </c>
      <c r="Q45" s="11">
        <v>1.51</v>
      </c>
      <c r="R45" s="11">
        <f t="shared" si="6"/>
        <v>144</v>
      </c>
      <c r="S45" s="15">
        <v>0.0722</v>
      </c>
      <c r="T45" s="11">
        <v>603.6</v>
      </c>
      <c r="U45" s="22">
        <f t="shared" si="14"/>
        <v>787.49</v>
      </c>
      <c r="V45" s="4"/>
      <c r="W45" s="4">
        <f t="shared" si="4"/>
        <v>779.11</v>
      </c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>
      <c r="A46" s="18"/>
      <c r="B46" s="18"/>
      <c r="C46" s="18"/>
      <c r="D46" s="18"/>
      <c r="E46" s="18"/>
      <c r="F46" s="11" t="s">
        <v>23</v>
      </c>
      <c r="G46" s="12">
        <f t="shared" si="17"/>
        <v>8.38</v>
      </c>
      <c r="H46" s="13">
        <v>62.0</v>
      </c>
      <c r="I46" s="13">
        <v>5.46</v>
      </c>
      <c r="J46" s="13">
        <v>2063.0</v>
      </c>
      <c r="K46" s="13">
        <v>46.24</v>
      </c>
      <c r="L46" s="11">
        <v>103.0</v>
      </c>
      <c r="M46" s="11">
        <v>1.73</v>
      </c>
      <c r="N46" s="14">
        <v>1.92</v>
      </c>
      <c r="O46" s="13">
        <v>131.43</v>
      </c>
      <c r="P46" s="11">
        <v>41.0</v>
      </c>
      <c r="Q46" s="11">
        <v>1.5</v>
      </c>
      <c r="R46" s="21">
        <f t="shared" si="6"/>
        <v>144</v>
      </c>
      <c r="S46" s="15">
        <v>0.0722</v>
      </c>
      <c r="T46" s="11">
        <v>605.43</v>
      </c>
      <c r="U46" s="22">
        <f t="shared" si="14"/>
        <v>790.29</v>
      </c>
      <c r="V46" s="4"/>
      <c r="W46" s="4">
        <f t="shared" si="4"/>
        <v>781.91</v>
      </c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>
      <c r="A47" s="18"/>
      <c r="B47" s="18"/>
      <c r="C47" s="18"/>
      <c r="D47" s="18"/>
      <c r="E47" s="18"/>
      <c r="F47" s="11" t="s">
        <v>24</v>
      </c>
      <c r="G47" s="12">
        <f t="shared" si="17"/>
        <v>8.38</v>
      </c>
      <c r="H47" s="13">
        <v>62.0</v>
      </c>
      <c r="I47" s="13">
        <v>5.46</v>
      </c>
      <c r="J47" s="13">
        <v>2063.0</v>
      </c>
      <c r="K47" s="13">
        <v>46.24</v>
      </c>
      <c r="L47" s="11">
        <v>196.0</v>
      </c>
      <c r="M47" s="11">
        <v>0.0</v>
      </c>
      <c r="N47" s="14">
        <v>0.03</v>
      </c>
      <c r="O47" s="13">
        <v>131.43</v>
      </c>
      <c r="P47" s="11">
        <v>0.0</v>
      </c>
      <c r="Q47" s="11">
        <v>0.0</v>
      </c>
      <c r="R47" s="21">
        <f t="shared" si="6"/>
        <v>196</v>
      </c>
      <c r="S47" s="15">
        <v>0.0982</v>
      </c>
      <c r="T47" s="11">
        <v>750.35</v>
      </c>
      <c r="U47" s="22">
        <f t="shared" si="14"/>
        <v>933.48</v>
      </c>
      <c r="V47" s="4"/>
      <c r="W47" s="4">
        <f t="shared" si="4"/>
        <v>925.1</v>
      </c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>
      <c r="A48" s="19"/>
      <c r="B48" s="19"/>
      <c r="C48" s="19"/>
      <c r="D48" s="19"/>
      <c r="E48" s="19"/>
      <c r="F48" s="11" t="s">
        <v>25</v>
      </c>
      <c r="G48" s="12">
        <f t="shared" si="17"/>
        <v>8.38</v>
      </c>
      <c r="H48" s="13">
        <v>62.0</v>
      </c>
      <c r="I48" s="13">
        <v>5.46</v>
      </c>
      <c r="J48" s="13">
        <v>2063.0</v>
      </c>
      <c r="K48" s="13">
        <v>46.24</v>
      </c>
      <c r="L48" s="11">
        <v>62.0</v>
      </c>
      <c r="M48" s="11">
        <v>18.62</v>
      </c>
      <c r="N48" s="14">
        <v>1.12</v>
      </c>
      <c r="O48" s="13">
        <v>131.43</v>
      </c>
      <c r="P48" s="11">
        <v>48.0</v>
      </c>
      <c r="Q48" s="11">
        <v>1.79</v>
      </c>
      <c r="R48" s="11">
        <f t="shared" si="6"/>
        <v>110</v>
      </c>
      <c r="S48" s="15">
        <v>0.0551</v>
      </c>
      <c r="T48" s="11">
        <v>462.12</v>
      </c>
      <c r="U48" s="22">
        <f t="shared" si="14"/>
        <v>663.87</v>
      </c>
      <c r="V48" s="4"/>
      <c r="W48" s="4">
        <f t="shared" si="4"/>
        <v>655.49</v>
      </c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>
      <c r="A49" s="9">
        <v>861.0</v>
      </c>
      <c r="B49" s="9" t="s">
        <v>19</v>
      </c>
      <c r="C49" s="9" t="s">
        <v>35</v>
      </c>
      <c r="D49" s="9" t="s">
        <v>39</v>
      </c>
      <c r="E49" s="10">
        <v>1844.8</v>
      </c>
      <c r="F49" s="11" t="s">
        <v>22</v>
      </c>
      <c r="G49" s="12">
        <f t="shared" ref="G49:G52" si="18">5.83+3.08</f>
        <v>8.91</v>
      </c>
      <c r="H49" s="13">
        <v>62.0</v>
      </c>
      <c r="I49" s="13">
        <v>5.25</v>
      </c>
      <c r="J49" s="13">
        <v>1924.0</v>
      </c>
      <c r="K49" s="13">
        <v>41.49</v>
      </c>
      <c r="L49" s="11">
        <v>106.0</v>
      </c>
      <c r="M49" s="11">
        <v>0.72</v>
      </c>
      <c r="N49" s="14">
        <v>2.21</v>
      </c>
      <c r="O49" s="13">
        <v>97.46</v>
      </c>
      <c r="P49" s="11">
        <v>36.0</v>
      </c>
      <c r="Q49" s="11">
        <v>1.52</v>
      </c>
      <c r="R49" s="11">
        <f t="shared" si="6"/>
        <v>142</v>
      </c>
      <c r="S49" s="15">
        <v>0.077</v>
      </c>
      <c r="T49" s="11">
        <v>595.2</v>
      </c>
      <c r="U49" s="22">
        <f t="shared" si="14"/>
        <v>740.12</v>
      </c>
      <c r="V49" s="4"/>
      <c r="W49" s="4">
        <f t="shared" si="4"/>
        <v>731.21</v>
      </c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>
      <c r="A50" s="18"/>
      <c r="B50" s="18"/>
      <c r="C50" s="18"/>
      <c r="D50" s="18"/>
      <c r="E50" s="18"/>
      <c r="F50" s="11" t="s">
        <v>23</v>
      </c>
      <c r="G50" s="12">
        <f t="shared" si="18"/>
        <v>8.91</v>
      </c>
      <c r="H50" s="13">
        <v>62.0</v>
      </c>
      <c r="I50" s="13">
        <v>5.25</v>
      </c>
      <c r="J50" s="13">
        <v>1924.0</v>
      </c>
      <c r="K50" s="13">
        <v>41.49</v>
      </c>
      <c r="L50" s="11">
        <v>101.0</v>
      </c>
      <c r="M50" s="11">
        <v>1.62</v>
      </c>
      <c r="N50" s="14">
        <v>2.08</v>
      </c>
      <c r="O50" s="13">
        <v>97.46</v>
      </c>
      <c r="P50" s="11">
        <v>37.0</v>
      </c>
      <c r="Q50" s="11">
        <v>1.56</v>
      </c>
      <c r="R50" s="21">
        <f t="shared" si="6"/>
        <v>138</v>
      </c>
      <c r="S50" s="15">
        <v>0.0748</v>
      </c>
      <c r="T50" s="11">
        <v>579.01</v>
      </c>
      <c r="U50" s="22">
        <f t="shared" si="14"/>
        <v>724.83</v>
      </c>
      <c r="V50" s="4"/>
      <c r="W50" s="4">
        <f t="shared" si="4"/>
        <v>715.92</v>
      </c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>
      <c r="A51" s="18"/>
      <c r="B51" s="18"/>
      <c r="C51" s="18"/>
      <c r="D51" s="18"/>
      <c r="E51" s="18"/>
      <c r="F51" s="11" t="s">
        <v>24</v>
      </c>
      <c r="G51" s="12">
        <f t="shared" si="18"/>
        <v>8.91</v>
      </c>
      <c r="H51" s="13">
        <v>62.0</v>
      </c>
      <c r="I51" s="13">
        <v>5.25</v>
      </c>
      <c r="J51" s="13">
        <v>1924.0</v>
      </c>
      <c r="K51" s="13">
        <v>41.49</v>
      </c>
      <c r="L51" s="11">
        <v>181.0</v>
      </c>
      <c r="M51" s="11">
        <v>0.0</v>
      </c>
      <c r="N51" s="14">
        <v>0.01</v>
      </c>
      <c r="O51" s="13">
        <v>97.46</v>
      </c>
      <c r="P51" s="11">
        <v>0.0</v>
      </c>
      <c r="Q51" s="11">
        <v>0.0</v>
      </c>
      <c r="R51" s="21">
        <f t="shared" si="6"/>
        <v>181</v>
      </c>
      <c r="S51" s="15">
        <v>0.0981</v>
      </c>
      <c r="T51" s="11">
        <v>695.19</v>
      </c>
      <c r="U51" s="22">
        <f t="shared" si="14"/>
        <v>839.39</v>
      </c>
      <c r="V51" s="4"/>
      <c r="W51" s="4">
        <f t="shared" si="4"/>
        <v>830.48</v>
      </c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>
      <c r="A52" s="19"/>
      <c r="B52" s="19"/>
      <c r="C52" s="19"/>
      <c r="D52" s="19"/>
      <c r="E52" s="19"/>
      <c r="F52" s="11" t="s">
        <v>25</v>
      </c>
      <c r="G52" s="12">
        <f t="shared" si="18"/>
        <v>8.91</v>
      </c>
      <c r="H52" s="13">
        <v>62.0</v>
      </c>
      <c r="I52" s="13">
        <v>5.25</v>
      </c>
      <c r="J52" s="13">
        <v>1924.0</v>
      </c>
      <c r="K52" s="13">
        <v>41.49</v>
      </c>
      <c r="L52" s="11">
        <v>107.0</v>
      </c>
      <c r="M52" s="11">
        <v>24.0</v>
      </c>
      <c r="N52" s="14">
        <v>2.42</v>
      </c>
      <c r="O52" s="13">
        <v>97.46</v>
      </c>
      <c r="P52" s="11">
        <v>35.0</v>
      </c>
      <c r="Q52" s="11">
        <v>1.56</v>
      </c>
      <c r="R52" s="11">
        <f t="shared" si="6"/>
        <v>142</v>
      </c>
      <c r="S52" s="15">
        <v>0.077</v>
      </c>
      <c r="T52" s="11">
        <v>595.52</v>
      </c>
      <c r="U52" s="22">
        <f t="shared" si="14"/>
        <v>763.72</v>
      </c>
      <c r="V52" s="4"/>
      <c r="W52" s="4">
        <f t="shared" si="4"/>
        <v>754.81</v>
      </c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6"/>
      <c r="S53" s="20"/>
      <c r="T53" s="4"/>
      <c r="U53" s="8"/>
      <c r="V53" s="4"/>
      <c r="W53" s="4">
        <f t="shared" si="4"/>
        <v>0</v>
      </c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1"/>
      <c r="S54" s="20"/>
      <c r="T54" s="4"/>
      <c r="U54" s="8"/>
      <c r="V54" s="4"/>
      <c r="W54" s="4">
        <f t="shared" si="4"/>
        <v>0</v>
      </c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>
      <c r="A55" s="9">
        <v>301.0</v>
      </c>
      <c r="B55" s="9" t="s">
        <v>40</v>
      </c>
      <c r="C55" s="9" t="s">
        <v>41</v>
      </c>
      <c r="D55" s="9" t="s">
        <v>42</v>
      </c>
      <c r="E55" s="10">
        <v>414.5</v>
      </c>
      <c r="F55" s="11" t="s">
        <v>22</v>
      </c>
      <c r="G55" s="12">
        <f t="shared" ref="G55:G58" si="19">5.51+1.37</f>
        <v>6.88</v>
      </c>
      <c r="H55" s="13">
        <v>62.0</v>
      </c>
      <c r="I55" s="13">
        <v>13.74</v>
      </c>
      <c r="J55" s="13">
        <v>433.0</v>
      </c>
      <c r="K55" s="13">
        <v>9.2</v>
      </c>
      <c r="L55" s="11">
        <v>56.0</v>
      </c>
      <c r="M55" s="11">
        <v>0.16</v>
      </c>
      <c r="N55" s="14">
        <v>1.18</v>
      </c>
      <c r="O55" s="13">
        <v>18.18</v>
      </c>
      <c r="P55" s="11">
        <v>1.0</v>
      </c>
      <c r="Q55" s="11">
        <v>0.04</v>
      </c>
      <c r="R55" s="11">
        <f t="shared" ref="R55:R344" si="20">P55+L55</f>
        <v>57</v>
      </c>
      <c r="S55" s="15">
        <v>0.1375</v>
      </c>
      <c r="T55" s="11">
        <v>238.53</v>
      </c>
      <c r="U55" s="22">
        <f t="shared" ref="U55:U344" si="21">sum(I55,K55,M55,O55,T55)</f>
        <v>279.81</v>
      </c>
      <c r="V55" s="4"/>
      <c r="W55" s="4">
        <f t="shared" si="4"/>
        <v>272.93</v>
      </c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>
      <c r="A56" s="18"/>
      <c r="B56" s="18"/>
      <c r="C56" s="18"/>
      <c r="D56" s="18"/>
      <c r="E56" s="18"/>
      <c r="F56" s="11" t="s">
        <v>23</v>
      </c>
      <c r="G56" s="12">
        <f t="shared" si="19"/>
        <v>6.88</v>
      </c>
      <c r="H56" s="13">
        <v>62.0</v>
      </c>
      <c r="I56" s="13">
        <v>13.74</v>
      </c>
      <c r="J56" s="13">
        <v>433.0</v>
      </c>
      <c r="K56" s="13">
        <v>9.2</v>
      </c>
      <c r="L56" s="11">
        <v>50.0</v>
      </c>
      <c r="M56" s="11">
        <v>0.36</v>
      </c>
      <c r="N56" s="14">
        <v>1.03</v>
      </c>
      <c r="O56" s="13">
        <v>18.18</v>
      </c>
      <c r="P56" s="11">
        <v>1.0</v>
      </c>
      <c r="Q56" s="11">
        <v>0.04</v>
      </c>
      <c r="R56" s="21">
        <f t="shared" si="20"/>
        <v>51</v>
      </c>
      <c r="S56" s="15">
        <v>0.123</v>
      </c>
      <c r="T56" s="11">
        <v>213.61</v>
      </c>
      <c r="U56" s="22">
        <f t="shared" si="21"/>
        <v>255.09</v>
      </c>
      <c r="V56" s="4"/>
      <c r="W56" s="4">
        <f t="shared" si="4"/>
        <v>248.21</v>
      </c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>
      <c r="A57" s="18"/>
      <c r="B57" s="18"/>
      <c r="C57" s="18"/>
      <c r="D57" s="18"/>
      <c r="E57" s="18"/>
      <c r="F57" s="11" t="s">
        <v>24</v>
      </c>
      <c r="G57" s="12">
        <f t="shared" si="19"/>
        <v>6.88</v>
      </c>
      <c r="H57" s="13">
        <v>62.0</v>
      </c>
      <c r="I57" s="13">
        <v>13.74</v>
      </c>
      <c r="J57" s="13">
        <v>433.0</v>
      </c>
      <c r="K57" s="13">
        <v>9.2</v>
      </c>
      <c r="L57" s="11">
        <v>40.0</v>
      </c>
      <c r="M57" s="11">
        <v>0.0</v>
      </c>
      <c r="N57" s="14">
        <v>0.0</v>
      </c>
      <c r="O57" s="13">
        <v>18.18</v>
      </c>
      <c r="P57" s="11">
        <v>0.0</v>
      </c>
      <c r="Q57" s="11">
        <v>0.0</v>
      </c>
      <c r="R57" s="21">
        <f t="shared" si="20"/>
        <v>40</v>
      </c>
      <c r="S57" s="15">
        <v>0.0965</v>
      </c>
      <c r="T57" s="11">
        <v>152.52</v>
      </c>
      <c r="U57" s="22">
        <f t="shared" si="21"/>
        <v>193.64</v>
      </c>
      <c r="V57" s="4"/>
      <c r="W57" s="4">
        <f t="shared" si="4"/>
        <v>186.76</v>
      </c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>
      <c r="A58" s="19"/>
      <c r="B58" s="19"/>
      <c r="C58" s="19"/>
      <c r="D58" s="19"/>
      <c r="E58" s="19"/>
      <c r="F58" s="11" t="s">
        <v>25</v>
      </c>
      <c r="G58" s="12">
        <f t="shared" si="19"/>
        <v>6.88</v>
      </c>
      <c r="H58" s="13">
        <v>62.0</v>
      </c>
      <c r="I58" s="13">
        <v>13.74</v>
      </c>
      <c r="J58" s="13">
        <v>433.0</v>
      </c>
      <c r="K58" s="13">
        <v>9.2</v>
      </c>
      <c r="L58" s="11">
        <v>35.0</v>
      </c>
      <c r="M58" s="11">
        <v>2.37</v>
      </c>
      <c r="N58" s="14">
        <v>0.66</v>
      </c>
      <c r="O58" s="13">
        <v>18.18</v>
      </c>
      <c r="P58" s="11">
        <v>2.0</v>
      </c>
      <c r="Q58" s="11">
        <v>0.07</v>
      </c>
      <c r="R58" s="11">
        <f t="shared" si="20"/>
        <v>37</v>
      </c>
      <c r="S58" s="15">
        <v>0.0893</v>
      </c>
      <c r="T58" s="11">
        <v>154.44</v>
      </c>
      <c r="U58" s="22">
        <f t="shared" si="21"/>
        <v>197.93</v>
      </c>
      <c r="V58" s="4"/>
      <c r="W58" s="4">
        <f t="shared" si="4"/>
        <v>191.05</v>
      </c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>
      <c r="A59" s="9">
        <v>302.0</v>
      </c>
      <c r="B59" s="9" t="s">
        <v>40</v>
      </c>
      <c r="C59" s="9" t="s">
        <v>41</v>
      </c>
      <c r="D59" s="9" t="s">
        <v>42</v>
      </c>
      <c r="E59" s="10">
        <v>505.8</v>
      </c>
      <c r="F59" s="11" t="s">
        <v>22</v>
      </c>
      <c r="G59" s="12">
        <f t="shared" ref="G59:G62" si="22">6.91+1.05</f>
        <v>7.96</v>
      </c>
      <c r="H59" s="13">
        <v>62.0</v>
      </c>
      <c r="I59" s="13">
        <v>5.1</v>
      </c>
      <c r="J59" s="13">
        <v>528.0</v>
      </c>
      <c r="K59" s="13">
        <v>10.91</v>
      </c>
      <c r="L59" s="11">
        <v>64.0</v>
      </c>
      <c r="M59" s="11">
        <v>0.2</v>
      </c>
      <c r="N59" s="14">
        <v>1.02</v>
      </c>
      <c r="O59" s="13">
        <v>18.09</v>
      </c>
      <c r="P59" s="11">
        <v>0.0</v>
      </c>
      <c r="Q59" s="11">
        <v>0.0</v>
      </c>
      <c r="R59" s="11">
        <f t="shared" si="20"/>
        <v>64</v>
      </c>
      <c r="S59" s="15">
        <v>0.1265</v>
      </c>
      <c r="T59" s="11">
        <v>268.31</v>
      </c>
      <c r="U59" s="22">
        <f t="shared" si="21"/>
        <v>302.61</v>
      </c>
      <c r="V59" s="4"/>
      <c r="W59" s="4">
        <f t="shared" si="4"/>
        <v>294.65</v>
      </c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>
      <c r="A60" s="18"/>
      <c r="B60" s="18"/>
      <c r="C60" s="18"/>
      <c r="D60" s="18"/>
      <c r="E60" s="18"/>
      <c r="F60" s="11" t="s">
        <v>23</v>
      </c>
      <c r="G60" s="12">
        <f t="shared" si="22"/>
        <v>7.96</v>
      </c>
      <c r="H60" s="13">
        <v>62.0</v>
      </c>
      <c r="I60" s="13">
        <v>5.1</v>
      </c>
      <c r="J60" s="13">
        <v>528.0</v>
      </c>
      <c r="K60" s="13">
        <v>10.91</v>
      </c>
      <c r="L60" s="11">
        <v>57.0</v>
      </c>
      <c r="M60" s="11">
        <v>0.44</v>
      </c>
      <c r="N60" s="14">
        <v>0.92</v>
      </c>
      <c r="O60" s="13">
        <v>18.09</v>
      </c>
      <c r="P60" s="11">
        <v>1.0</v>
      </c>
      <c r="Q60" s="11">
        <v>0.04</v>
      </c>
      <c r="R60" s="21">
        <f t="shared" si="20"/>
        <v>58</v>
      </c>
      <c r="S60" s="15">
        <v>0.1147</v>
      </c>
      <c r="T60" s="11">
        <v>242.43</v>
      </c>
      <c r="U60" s="22">
        <f t="shared" si="21"/>
        <v>276.97</v>
      </c>
      <c r="V60" s="4"/>
      <c r="W60" s="4">
        <f t="shared" si="4"/>
        <v>269.01</v>
      </c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>
      <c r="A61" s="18"/>
      <c r="B61" s="18"/>
      <c r="C61" s="18"/>
      <c r="D61" s="18"/>
      <c r="E61" s="18"/>
      <c r="F61" s="11" t="s">
        <v>24</v>
      </c>
      <c r="G61" s="12">
        <f t="shared" si="22"/>
        <v>7.96</v>
      </c>
      <c r="H61" s="13">
        <v>62.0</v>
      </c>
      <c r="I61" s="13">
        <v>5.1</v>
      </c>
      <c r="J61" s="13">
        <v>528.0</v>
      </c>
      <c r="K61" s="13">
        <v>10.91</v>
      </c>
      <c r="L61" s="11">
        <v>51.0</v>
      </c>
      <c r="M61" s="11">
        <v>0.0</v>
      </c>
      <c r="N61" s="14">
        <v>0.0</v>
      </c>
      <c r="O61" s="13">
        <v>18.09</v>
      </c>
      <c r="P61" s="11">
        <v>0.0</v>
      </c>
      <c r="Q61" s="11">
        <v>0.0</v>
      </c>
      <c r="R61" s="21">
        <f t="shared" si="20"/>
        <v>51</v>
      </c>
      <c r="S61" s="15">
        <v>0.1008</v>
      </c>
      <c r="T61" s="11">
        <v>194.43</v>
      </c>
      <c r="U61" s="22">
        <f t="shared" si="21"/>
        <v>228.53</v>
      </c>
      <c r="V61" s="4"/>
      <c r="W61" s="4">
        <f t="shared" si="4"/>
        <v>220.57</v>
      </c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>
      <c r="A62" s="19"/>
      <c r="B62" s="19"/>
      <c r="C62" s="19"/>
      <c r="D62" s="19"/>
      <c r="E62" s="19"/>
      <c r="F62" s="11" t="s">
        <v>25</v>
      </c>
      <c r="G62" s="12">
        <f t="shared" si="22"/>
        <v>7.96</v>
      </c>
      <c r="H62" s="13">
        <v>62.0</v>
      </c>
      <c r="I62" s="13">
        <v>5.1</v>
      </c>
      <c r="J62" s="13">
        <v>528.0</v>
      </c>
      <c r="K62" s="13">
        <v>10.91</v>
      </c>
      <c r="L62" s="11">
        <v>45.0</v>
      </c>
      <c r="M62" s="11">
        <v>3.93</v>
      </c>
      <c r="N62" s="14">
        <v>0.71</v>
      </c>
      <c r="O62" s="13">
        <v>18.09</v>
      </c>
      <c r="P62" s="11">
        <v>3.0</v>
      </c>
      <c r="Q62" s="11">
        <v>0.09</v>
      </c>
      <c r="R62" s="11">
        <f t="shared" si="20"/>
        <v>48</v>
      </c>
      <c r="S62" s="15">
        <v>0.0949</v>
      </c>
      <c r="T62" s="11">
        <v>202.52</v>
      </c>
      <c r="U62" s="22">
        <f t="shared" si="21"/>
        <v>240.55</v>
      </c>
      <c r="V62" s="4"/>
      <c r="W62" s="4">
        <f t="shared" si="4"/>
        <v>232.59</v>
      </c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>
      <c r="A63" s="9">
        <v>303.0</v>
      </c>
      <c r="B63" s="9" t="s">
        <v>40</v>
      </c>
      <c r="C63" s="9" t="s">
        <v>41</v>
      </c>
      <c r="D63" s="9" t="s">
        <v>42</v>
      </c>
      <c r="E63" s="10">
        <v>285.4</v>
      </c>
      <c r="F63" s="11" t="s">
        <v>22</v>
      </c>
      <c r="G63" s="12">
        <f t="shared" ref="G63:G66" si="23">3.74+0.66</f>
        <v>4.4</v>
      </c>
      <c r="H63" s="13">
        <v>62.0</v>
      </c>
      <c r="I63" s="13">
        <v>4.84</v>
      </c>
      <c r="J63" s="13">
        <v>298.0</v>
      </c>
      <c r="K63" s="13">
        <v>6.31</v>
      </c>
      <c r="L63" s="11">
        <v>21.0</v>
      </c>
      <c r="M63" s="11">
        <v>0.11</v>
      </c>
      <c r="N63" s="14">
        <v>0.31</v>
      </c>
      <c r="O63" s="13">
        <v>13.2</v>
      </c>
      <c r="P63" s="11">
        <v>3.0</v>
      </c>
      <c r="Q63" s="11">
        <v>0.08</v>
      </c>
      <c r="R63" s="11">
        <f t="shared" si="20"/>
        <v>24</v>
      </c>
      <c r="S63" s="15">
        <v>0.0841</v>
      </c>
      <c r="T63" s="11">
        <v>100.51</v>
      </c>
      <c r="U63" s="22">
        <f t="shared" si="21"/>
        <v>124.97</v>
      </c>
      <c r="V63" s="4"/>
      <c r="W63" s="4">
        <f t="shared" si="4"/>
        <v>120.57</v>
      </c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>
      <c r="A64" s="18"/>
      <c r="B64" s="18"/>
      <c r="C64" s="18"/>
      <c r="D64" s="18"/>
      <c r="E64" s="18"/>
      <c r="F64" s="11" t="s">
        <v>23</v>
      </c>
      <c r="G64" s="12">
        <f t="shared" si="23"/>
        <v>4.4</v>
      </c>
      <c r="H64" s="13">
        <v>62.0</v>
      </c>
      <c r="I64" s="13">
        <v>4.84</v>
      </c>
      <c r="J64" s="13">
        <v>298.0</v>
      </c>
      <c r="K64" s="13">
        <v>6.31</v>
      </c>
      <c r="L64" s="11">
        <v>20.0</v>
      </c>
      <c r="M64" s="11">
        <v>0.25</v>
      </c>
      <c r="N64" s="14">
        <v>0.31</v>
      </c>
      <c r="O64" s="13">
        <v>13.2</v>
      </c>
      <c r="P64" s="11">
        <v>3.0</v>
      </c>
      <c r="Q64" s="11">
        <v>0.08</v>
      </c>
      <c r="R64" s="21">
        <f t="shared" si="20"/>
        <v>23</v>
      </c>
      <c r="S64" s="15">
        <v>0.0806</v>
      </c>
      <c r="T64" s="11">
        <v>96.49</v>
      </c>
      <c r="U64" s="22">
        <f t="shared" si="21"/>
        <v>121.09</v>
      </c>
      <c r="V64" s="4"/>
      <c r="W64" s="4">
        <f t="shared" si="4"/>
        <v>116.69</v>
      </c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>
      <c r="A65" s="18"/>
      <c r="B65" s="18"/>
      <c r="C65" s="18"/>
      <c r="D65" s="18"/>
      <c r="E65" s="18"/>
      <c r="F65" s="11" t="s">
        <v>24</v>
      </c>
      <c r="G65" s="12">
        <f t="shared" si="23"/>
        <v>4.4</v>
      </c>
      <c r="H65" s="13">
        <v>62.0</v>
      </c>
      <c r="I65" s="13">
        <v>4.84</v>
      </c>
      <c r="J65" s="13">
        <v>298.0</v>
      </c>
      <c r="K65" s="13">
        <v>6.31</v>
      </c>
      <c r="L65" s="11">
        <v>27.0</v>
      </c>
      <c r="M65" s="11">
        <v>0.0</v>
      </c>
      <c r="N65" s="14">
        <v>0.0</v>
      </c>
      <c r="O65" s="13">
        <v>13.2</v>
      </c>
      <c r="P65" s="11">
        <v>0.0</v>
      </c>
      <c r="Q65" s="11">
        <v>0.0</v>
      </c>
      <c r="R65" s="21">
        <f t="shared" si="20"/>
        <v>27</v>
      </c>
      <c r="S65" s="15">
        <v>0.0946</v>
      </c>
      <c r="T65" s="11">
        <v>103.59</v>
      </c>
      <c r="U65" s="22">
        <f t="shared" si="21"/>
        <v>127.94</v>
      </c>
      <c r="V65" s="4"/>
      <c r="W65" s="4">
        <f t="shared" si="4"/>
        <v>123.54</v>
      </c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>
      <c r="A66" s="19"/>
      <c r="B66" s="19"/>
      <c r="C66" s="19"/>
      <c r="D66" s="19"/>
      <c r="E66" s="19"/>
      <c r="F66" s="11" t="s">
        <v>25</v>
      </c>
      <c r="G66" s="12">
        <f t="shared" si="23"/>
        <v>4.4</v>
      </c>
      <c r="H66" s="13">
        <v>62.0</v>
      </c>
      <c r="I66" s="13">
        <v>4.84</v>
      </c>
      <c r="J66" s="13">
        <v>298.0</v>
      </c>
      <c r="K66" s="13">
        <v>6.31</v>
      </c>
      <c r="L66" s="11">
        <v>20.0</v>
      </c>
      <c r="M66" s="11">
        <v>0.87</v>
      </c>
      <c r="N66" s="14">
        <v>0.28</v>
      </c>
      <c r="O66" s="13">
        <v>13.2</v>
      </c>
      <c r="P66" s="11">
        <v>5.0</v>
      </c>
      <c r="Q66" s="11">
        <v>0.11</v>
      </c>
      <c r="R66" s="11">
        <f t="shared" si="20"/>
        <v>25</v>
      </c>
      <c r="S66" s="15">
        <v>0.0876</v>
      </c>
      <c r="T66" s="11">
        <v>105.42</v>
      </c>
      <c r="U66" s="22">
        <f t="shared" si="21"/>
        <v>130.64</v>
      </c>
      <c r="V66" s="4"/>
      <c r="W66" s="4">
        <f t="shared" si="4"/>
        <v>126.24</v>
      </c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>
      <c r="A67" s="9">
        <v>321.0</v>
      </c>
      <c r="B67" s="9" t="s">
        <v>40</v>
      </c>
      <c r="C67" s="9" t="s">
        <v>41</v>
      </c>
      <c r="D67" s="9" t="s">
        <v>43</v>
      </c>
      <c r="E67" s="10">
        <v>439.3</v>
      </c>
      <c r="F67" s="11" t="s">
        <v>22</v>
      </c>
      <c r="G67" s="12">
        <f t="shared" ref="G67:G70" si="24">5.45+0.88</f>
        <v>6.33</v>
      </c>
      <c r="H67" s="13">
        <v>62.0</v>
      </c>
      <c r="I67" s="13">
        <v>5.17</v>
      </c>
      <c r="J67" s="13">
        <v>440.0</v>
      </c>
      <c r="K67" s="13">
        <v>10.39</v>
      </c>
      <c r="L67" s="11">
        <v>13.0</v>
      </c>
      <c r="M67" s="11">
        <v>0.17</v>
      </c>
      <c r="N67" s="14">
        <v>0.32</v>
      </c>
      <c r="O67" s="13">
        <v>12.32</v>
      </c>
      <c r="P67" s="11">
        <v>7.0</v>
      </c>
      <c r="Q67" s="11">
        <v>0.31</v>
      </c>
      <c r="R67" s="11">
        <f t="shared" si="20"/>
        <v>20</v>
      </c>
      <c r="S67" s="15">
        <v>0.0455</v>
      </c>
      <c r="T67" s="11">
        <v>84.35</v>
      </c>
      <c r="U67" s="22">
        <f t="shared" si="21"/>
        <v>112.4</v>
      </c>
      <c r="V67" s="4"/>
      <c r="W67" s="4">
        <f t="shared" si="4"/>
        <v>106.07</v>
      </c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>
      <c r="A68" s="18"/>
      <c r="B68" s="18"/>
      <c r="C68" s="18"/>
      <c r="D68" s="18"/>
      <c r="E68" s="18"/>
      <c r="F68" s="11" t="s">
        <v>23</v>
      </c>
      <c r="G68" s="12">
        <f t="shared" si="24"/>
        <v>6.33</v>
      </c>
      <c r="H68" s="13">
        <v>62.0</v>
      </c>
      <c r="I68" s="13">
        <v>5.17</v>
      </c>
      <c r="J68" s="13">
        <v>440.0</v>
      </c>
      <c r="K68" s="13">
        <v>10.39</v>
      </c>
      <c r="L68" s="11">
        <v>13.0</v>
      </c>
      <c r="M68" s="11">
        <v>0.37</v>
      </c>
      <c r="N68" s="14">
        <v>0.32</v>
      </c>
      <c r="O68" s="13">
        <v>12.32</v>
      </c>
      <c r="P68" s="11">
        <v>7.0</v>
      </c>
      <c r="Q68" s="11">
        <v>0.29</v>
      </c>
      <c r="R68" s="21">
        <f t="shared" si="20"/>
        <v>20</v>
      </c>
      <c r="S68" s="15">
        <v>0.0455</v>
      </c>
      <c r="T68" s="11">
        <v>84.74</v>
      </c>
      <c r="U68" s="22">
        <f t="shared" si="21"/>
        <v>112.99</v>
      </c>
      <c r="V68" s="4"/>
      <c r="W68" s="4">
        <f t="shared" si="4"/>
        <v>106.66</v>
      </c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>
      <c r="A69" s="18"/>
      <c r="B69" s="18"/>
      <c r="C69" s="18"/>
      <c r="D69" s="18"/>
      <c r="E69" s="18"/>
      <c r="F69" s="11" t="s">
        <v>24</v>
      </c>
      <c r="G69" s="12">
        <f t="shared" si="24"/>
        <v>6.33</v>
      </c>
      <c r="H69" s="13">
        <v>62.0</v>
      </c>
      <c r="I69" s="13">
        <v>5.17</v>
      </c>
      <c r="J69" s="13">
        <v>440.0</v>
      </c>
      <c r="K69" s="13">
        <v>10.39</v>
      </c>
      <c r="L69" s="11">
        <v>0.0</v>
      </c>
      <c r="M69" s="11">
        <v>0.0</v>
      </c>
      <c r="N69" s="14">
        <v>0.0</v>
      </c>
      <c r="O69" s="13">
        <v>12.32</v>
      </c>
      <c r="P69" s="11">
        <v>0.0</v>
      </c>
      <c r="Q69" s="11">
        <v>0.0</v>
      </c>
      <c r="R69" s="21">
        <f t="shared" si="20"/>
        <v>0</v>
      </c>
      <c r="S69" s="15">
        <v>0.0</v>
      </c>
      <c r="T69" s="11">
        <v>0.0</v>
      </c>
      <c r="U69" s="22">
        <f t="shared" si="21"/>
        <v>27.88</v>
      </c>
      <c r="V69" s="4"/>
      <c r="W69" s="4">
        <f t="shared" si="4"/>
        <v>21.55</v>
      </c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>
      <c r="A70" s="19"/>
      <c r="B70" s="19"/>
      <c r="C70" s="19"/>
      <c r="D70" s="19"/>
      <c r="E70" s="19"/>
      <c r="F70" s="11" t="s">
        <v>25</v>
      </c>
      <c r="G70" s="12">
        <f t="shared" si="24"/>
        <v>6.33</v>
      </c>
      <c r="H70" s="13">
        <v>62.0</v>
      </c>
      <c r="I70" s="13">
        <v>5.17</v>
      </c>
      <c r="J70" s="13">
        <v>440.0</v>
      </c>
      <c r="K70" s="13">
        <v>10.39</v>
      </c>
      <c r="L70" s="11">
        <v>13.0</v>
      </c>
      <c r="M70" s="11">
        <v>0.97</v>
      </c>
      <c r="N70" s="14">
        <v>0.23</v>
      </c>
      <c r="O70" s="13">
        <v>12.32</v>
      </c>
      <c r="P70" s="11">
        <v>8.0</v>
      </c>
      <c r="Q70" s="11">
        <v>0.33</v>
      </c>
      <c r="R70" s="11">
        <f t="shared" si="20"/>
        <v>21</v>
      </c>
      <c r="S70" s="15">
        <v>0.0478</v>
      </c>
      <c r="T70" s="11">
        <v>88.77</v>
      </c>
      <c r="U70" s="22">
        <f t="shared" si="21"/>
        <v>117.62</v>
      </c>
      <c r="V70" s="4"/>
      <c r="W70" s="4">
        <f t="shared" si="4"/>
        <v>111.29</v>
      </c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>
      <c r="A71" s="9">
        <v>322.0</v>
      </c>
      <c r="B71" s="9" t="s">
        <v>40</v>
      </c>
      <c r="C71" s="9" t="s">
        <v>41</v>
      </c>
      <c r="D71" s="9" t="s">
        <v>43</v>
      </c>
      <c r="E71" s="10">
        <v>844.0</v>
      </c>
      <c r="F71" s="11" t="s">
        <v>22</v>
      </c>
      <c r="G71" s="12">
        <f t="shared" ref="G71:G74" si="25">4.18+1.55</f>
        <v>5.73</v>
      </c>
      <c r="H71" s="13">
        <v>62.0</v>
      </c>
      <c r="I71" s="13">
        <v>5.08</v>
      </c>
      <c r="J71" s="13">
        <v>844.0</v>
      </c>
      <c r="K71" s="13">
        <v>19.86</v>
      </c>
      <c r="L71" s="11">
        <v>10.0</v>
      </c>
      <c r="M71" s="11">
        <v>0.32</v>
      </c>
      <c r="N71" s="14">
        <v>0.2</v>
      </c>
      <c r="O71" s="13">
        <v>20.5</v>
      </c>
      <c r="P71" s="11">
        <v>23.0</v>
      </c>
      <c r="Q71" s="11">
        <v>0.72</v>
      </c>
      <c r="R71" s="11">
        <f t="shared" si="20"/>
        <v>33</v>
      </c>
      <c r="S71" s="15">
        <v>0.0391</v>
      </c>
      <c r="T71" s="11">
        <v>140.72</v>
      </c>
      <c r="U71" s="22">
        <f t="shared" si="21"/>
        <v>186.48</v>
      </c>
      <c r="V71" s="4"/>
      <c r="W71" s="4">
        <f t="shared" si="4"/>
        <v>180.75</v>
      </c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>
      <c r="A72" s="18"/>
      <c r="B72" s="18"/>
      <c r="C72" s="18"/>
      <c r="D72" s="18"/>
      <c r="E72" s="18"/>
      <c r="F72" s="11" t="s">
        <v>23</v>
      </c>
      <c r="G72" s="12">
        <f t="shared" si="25"/>
        <v>5.73</v>
      </c>
      <c r="H72" s="13">
        <v>62.0</v>
      </c>
      <c r="I72" s="13">
        <v>5.08</v>
      </c>
      <c r="J72" s="13">
        <v>844.0</v>
      </c>
      <c r="K72" s="13">
        <v>19.86</v>
      </c>
      <c r="L72" s="11">
        <v>10.0</v>
      </c>
      <c r="M72" s="11">
        <v>0.72</v>
      </c>
      <c r="N72" s="14">
        <v>0.2</v>
      </c>
      <c r="O72" s="13">
        <v>20.5</v>
      </c>
      <c r="P72" s="11">
        <v>23.0</v>
      </c>
      <c r="Q72" s="11">
        <v>0.77</v>
      </c>
      <c r="R72" s="21">
        <f t="shared" si="20"/>
        <v>33</v>
      </c>
      <c r="S72" s="15">
        <v>0.0391</v>
      </c>
      <c r="T72" s="11">
        <v>139.91</v>
      </c>
      <c r="U72" s="22">
        <f t="shared" si="21"/>
        <v>186.07</v>
      </c>
      <c r="V72" s="4"/>
      <c r="W72" s="4">
        <f t="shared" si="4"/>
        <v>180.34</v>
      </c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>
      <c r="A73" s="18"/>
      <c r="B73" s="18"/>
      <c r="C73" s="18"/>
      <c r="D73" s="18"/>
      <c r="E73" s="18"/>
      <c r="F73" s="11" t="s">
        <v>24</v>
      </c>
      <c r="G73" s="12">
        <f t="shared" si="25"/>
        <v>5.73</v>
      </c>
      <c r="H73" s="13">
        <v>62.0</v>
      </c>
      <c r="I73" s="13">
        <v>5.08</v>
      </c>
      <c r="J73" s="13">
        <v>844.0</v>
      </c>
      <c r="K73" s="13">
        <v>19.86</v>
      </c>
      <c r="L73" s="11">
        <v>69.0</v>
      </c>
      <c r="M73" s="11">
        <v>0.0</v>
      </c>
      <c r="N73" s="14">
        <v>0.0</v>
      </c>
      <c r="O73" s="13">
        <v>20.5</v>
      </c>
      <c r="P73" s="11">
        <v>0.0</v>
      </c>
      <c r="Q73" s="11">
        <v>0.0</v>
      </c>
      <c r="R73" s="21">
        <f t="shared" si="20"/>
        <v>69</v>
      </c>
      <c r="S73" s="15">
        <v>0.0818</v>
      </c>
      <c r="T73" s="11">
        <v>264.81</v>
      </c>
      <c r="U73" s="22">
        <f t="shared" si="21"/>
        <v>310.25</v>
      </c>
      <c r="V73" s="4"/>
      <c r="W73" s="4">
        <f t="shared" si="4"/>
        <v>304.52</v>
      </c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>
      <c r="A74" s="19"/>
      <c r="B74" s="19"/>
      <c r="C74" s="19"/>
      <c r="D74" s="19"/>
      <c r="E74" s="19"/>
      <c r="F74" s="11" t="s">
        <v>25</v>
      </c>
      <c r="G74" s="12">
        <f t="shared" si="25"/>
        <v>5.73</v>
      </c>
      <c r="H74" s="13">
        <v>62.0</v>
      </c>
      <c r="I74" s="13">
        <v>5.08</v>
      </c>
      <c r="J74" s="13">
        <v>844.0</v>
      </c>
      <c r="K74" s="13">
        <v>19.86</v>
      </c>
      <c r="L74" s="11">
        <v>19.0</v>
      </c>
      <c r="M74" s="11">
        <v>3.05</v>
      </c>
      <c r="N74" s="14">
        <v>0.34</v>
      </c>
      <c r="O74" s="13">
        <v>20.5</v>
      </c>
      <c r="P74" s="11">
        <v>19.0</v>
      </c>
      <c r="Q74" s="11">
        <v>0.57</v>
      </c>
      <c r="R74" s="11">
        <f t="shared" si="20"/>
        <v>38</v>
      </c>
      <c r="S74" s="15">
        <v>0.045</v>
      </c>
      <c r="T74" s="11">
        <v>160.71</v>
      </c>
      <c r="U74" s="22">
        <f t="shared" si="21"/>
        <v>209.2</v>
      </c>
      <c r="V74" s="4"/>
      <c r="W74" s="4">
        <f t="shared" si="4"/>
        <v>203.47</v>
      </c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>
      <c r="A75" s="9">
        <v>323.0</v>
      </c>
      <c r="B75" s="9" t="s">
        <v>40</v>
      </c>
      <c r="C75" s="9" t="s">
        <v>41</v>
      </c>
      <c r="D75" s="9" t="s">
        <v>43</v>
      </c>
      <c r="E75" s="10">
        <v>441.3</v>
      </c>
      <c r="F75" s="11" t="s">
        <v>22</v>
      </c>
      <c r="G75" s="12">
        <f t="shared" ref="G75:G78" si="26">2.68+0.94</f>
        <v>3.62</v>
      </c>
      <c r="H75" s="13">
        <v>62.0</v>
      </c>
      <c r="I75" s="13">
        <v>5.15</v>
      </c>
      <c r="J75" s="13">
        <v>442.0</v>
      </c>
      <c r="K75" s="13">
        <v>10.48</v>
      </c>
      <c r="L75" s="11">
        <v>18.0</v>
      </c>
      <c r="M75" s="11">
        <v>0.16</v>
      </c>
      <c r="N75" s="14">
        <v>0.37</v>
      </c>
      <c r="O75" s="13">
        <v>15.68</v>
      </c>
      <c r="P75" s="11">
        <v>8.0</v>
      </c>
      <c r="Q75" s="11">
        <v>0.24</v>
      </c>
      <c r="R75" s="11">
        <f t="shared" si="20"/>
        <v>26</v>
      </c>
      <c r="S75" s="15">
        <v>0.0589</v>
      </c>
      <c r="T75" s="11">
        <v>109.15</v>
      </c>
      <c r="U75" s="22">
        <f t="shared" si="21"/>
        <v>140.62</v>
      </c>
      <c r="V75" s="4"/>
      <c r="W75" s="4">
        <f t="shared" si="4"/>
        <v>137</v>
      </c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>
      <c r="A76" s="18"/>
      <c r="B76" s="18"/>
      <c r="C76" s="18"/>
      <c r="D76" s="18"/>
      <c r="E76" s="18"/>
      <c r="F76" s="11" t="s">
        <v>23</v>
      </c>
      <c r="G76" s="12">
        <f t="shared" si="26"/>
        <v>3.62</v>
      </c>
      <c r="H76" s="13">
        <v>62.0</v>
      </c>
      <c r="I76" s="13">
        <v>5.15</v>
      </c>
      <c r="J76" s="13">
        <v>442.0</v>
      </c>
      <c r="K76" s="13">
        <v>10.48</v>
      </c>
      <c r="L76" s="11">
        <v>18.0</v>
      </c>
      <c r="M76" s="11">
        <v>0.38</v>
      </c>
      <c r="N76" s="14">
        <v>0.37</v>
      </c>
      <c r="O76" s="13">
        <v>15.68</v>
      </c>
      <c r="P76" s="11">
        <v>8.0</v>
      </c>
      <c r="Q76" s="11">
        <v>0.26</v>
      </c>
      <c r="R76" s="21">
        <f t="shared" si="20"/>
        <v>26</v>
      </c>
      <c r="S76" s="15">
        <v>0.0589</v>
      </c>
      <c r="T76" s="11">
        <v>109.67</v>
      </c>
      <c r="U76" s="22">
        <f t="shared" si="21"/>
        <v>141.36</v>
      </c>
      <c r="V76" s="4"/>
      <c r="W76" s="4">
        <f t="shared" si="4"/>
        <v>137.74</v>
      </c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>
      <c r="A77" s="18"/>
      <c r="B77" s="18"/>
      <c r="C77" s="18"/>
      <c r="D77" s="18"/>
      <c r="E77" s="18"/>
      <c r="F77" s="11" t="s">
        <v>24</v>
      </c>
      <c r="G77" s="12">
        <f t="shared" si="26"/>
        <v>3.62</v>
      </c>
      <c r="H77" s="13">
        <v>62.0</v>
      </c>
      <c r="I77" s="13">
        <v>5.15</v>
      </c>
      <c r="J77" s="13">
        <v>442.0</v>
      </c>
      <c r="K77" s="13">
        <v>10.48</v>
      </c>
      <c r="L77" s="11">
        <v>42.0</v>
      </c>
      <c r="M77" s="11">
        <v>0.0</v>
      </c>
      <c r="N77" s="14">
        <v>0.0</v>
      </c>
      <c r="O77" s="13">
        <v>15.68</v>
      </c>
      <c r="P77" s="11">
        <v>0.0</v>
      </c>
      <c r="Q77" s="11">
        <v>0.0</v>
      </c>
      <c r="R77" s="21">
        <f t="shared" si="20"/>
        <v>42</v>
      </c>
      <c r="S77" s="15">
        <v>0.0952</v>
      </c>
      <c r="T77" s="11">
        <v>160.76</v>
      </c>
      <c r="U77" s="22">
        <f t="shared" si="21"/>
        <v>192.07</v>
      </c>
      <c r="V77" s="4"/>
      <c r="W77" s="4">
        <f t="shared" si="4"/>
        <v>188.45</v>
      </c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>
      <c r="A78" s="19"/>
      <c r="B78" s="19"/>
      <c r="C78" s="19"/>
      <c r="D78" s="19"/>
      <c r="E78" s="19"/>
      <c r="F78" s="11" t="s">
        <v>25</v>
      </c>
      <c r="G78" s="12">
        <f t="shared" si="26"/>
        <v>3.62</v>
      </c>
      <c r="H78" s="13">
        <v>62.0</v>
      </c>
      <c r="I78" s="13">
        <v>5.15</v>
      </c>
      <c r="J78" s="13">
        <v>442.0</v>
      </c>
      <c r="K78" s="13">
        <v>10.48</v>
      </c>
      <c r="L78" s="11">
        <v>23.0</v>
      </c>
      <c r="M78" s="11">
        <v>1.6</v>
      </c>
      <c r="N78" s="14">
        <v>0.45</v>
      </c>
      <c r="O78" s="13">
        <v>15.68</v>
      </c>
      <c r="P78" s="11">
        <v>7.0</v>
      </c>
      <c r="Q78" s="11">
        <v>0.2</v>
      </c>
      <c r="R78" s="11">
        <f t="shared" si="20"/>
        <v>30</v>
      </c>
      <c r="S78" s="15">
        <v>0.068</v>
      </c>
      <c r="T78" s="11">
        <v>126.21</v>
      </c>
      <c r="U78" s="22">
        <f t="shared" si="21"/>
        <v>159.12</v>
      </c>
      <c r="V78" s="4"/>
      <c r="W78" s="4">
        <f t="shared" si="4"/>
        <v>155.5</v>
      </c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>
      <c r="A79" s="9">
        <v>341.0</v>
      </c>
      <c r="B79" s="9" t="s">
        <v>40</v>
      </c>
      <c r="C79" s="9" t="s">
        <v>41</v>
      </c>
      <c r="D79" s="9" t="s">
        <v>44</v>
      </c>
      <c r="E79" s="10">
        <v>521.3</v>
      </c>
      <c r="F79" s="11" t="s">
        <v>22</v>
      </c>
      <c r="G79" s="12">
        <f t="shared" ref="G79:G82" si="27">3.47+1.43</f>
        <v>4.9</v>
      </c>
      <c r="H79" s="13">
        <v>62.0</v>
      </c>
      <c r="I79" s="13">
        <v>14.76</v>
      </c>
      <c r="J79" s="13">
        <v>539.0</v>
      </c>
      <c r="K79" s="13">
        <v>13.86</v>
      </c>
      <c r="L79" s="11">
        <v>3.0</v>
      </c>
      <c r="M79" s="11">
        <v>0.21</v>
      </c>
      <c r="N79" s="14">
        <v>0.08</v>
      </c>
      <c r="O79" s="13">
        <v>20.81</v>
      </c>
      <c r="P79" s="11">
        <v>17.0</v>
      </c>
      <c r="Q79" s="11">
        <v>0.63</v>
      </c>
      <c r="R79" s="11">
        <f t="shared" si="20"/>
        <v>20</v>
      </c>
      <c r="S79" s="15">
        <v>0.0384</v>
      </c>
      <c r="T79" s="11">
        <v>84.24</v>
      </c>
      <c r="U79" s="22">
        <f t="shared" si="21"/>
        <v>133.88</v>
      </c>
      <c r="V79" s="4"/>
      <c r="W79" s="4">
        <f t="shared" si="4"/>
        <v>128.98</v>
      </c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>
      <c r="A80" s="18"/>
      <c r="B80" s="18"/>
      <c r="C80" s="18"/>
      <c r="D80" s="18"/>
      <c r="E80" s="18"/>
      <c r="F80" s="11" t="s">
        <v>23</v>
      </c>
      <c r="G80" s="12">
        <f t="shared" si="27"/>
        <v>4.9</v>
      </c>
      <c r="H80" s="13">
        <v>62.0</v>
      </c>
      <c r="I80" s="13">
        <v>14.76</v>
      </c>
      <c r="J80" s="13">
        <v>539.0</v>
      </c>
      <c r="K80" s="13">
        <v>13.86</v>
      </c>
      <c r="L80" s="11">
        <v>3.0</v>
      </c>
      <c r="M80" s="11">
        <v>0.45</v>
      </c>
      <c r="N80" s="14">
        <v>0.05</v>
      </c>
      <c r="O80" s="13">
        <v>20.81</v>
      </c>
      <c r="P80" s="11">
        <v>17.0</v>
      </c>
      <c r="Q80" s="11">
        <v>0.63</v>
      </c>
      <c r="R80" s="21">
        <f t="shared" si="20"/>
        <v>20</v>
      </c>
      <c r="S80" s="15">
        <v>0.0384</v>
      </c>
      <c r="T80" s="11">
        <v>83.79</v>
      </c>
      <c r="U80" s="22">
        <f t="shared" si="21"/>
        <v>133.67</v>
      </c>
      <c r="V80" s="4"/>
      <c r="W80" s="4">
        <f t="shared" si="4"/>
        <v>128.77</v>
      </c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>
      <c r="A81" s="18"/>
      <c r="B81" s="18"/>
      <c r="C81" s="18"/>
      <c r="D81" s="18"/>
      <c r="E81" s="18"/>
      <c r="F81" s="11" t="s">
        <v>24</v>
      </c>
      <c r="G81" s="12">
        <f t="shared" si="27"/>
        <v>4.9</v>
      </c>
      <c r="H81" s="13">
        <v>62.0</v>
      </c>
      <c r="I81" s="13">
        <v>14.76</v>
      </c>
      <c r="J81" s="13">
        <v>539.0</v>
      </c>
      <c r="K81" s="13">
        <v>13.86</v>
      </c>
      <c r="L81" s="11">
        <v>44.0</v>
      </c>
      <c r="M81" s="11">
        <v>0.0</v>
      </c>
      <c r="N81" s="14">
        <v>0.0</v>
      </c>
      <c r="O81" s="13">
        <v>20.81</v>
      </c>
      <c r="P81" s="11">
        <v>0.0</v>
      </c>
      <c r="Q81" s="11">
        <v>0.0</v>
      </c>
      <c r="R81" s="21">
        <f t="shared" si="20"/>
        <v>44</v>
      </c>
      <c r="S81" s="15">
        <v>0.0844</v>
      </c>
      <c r="T81" s="11">
        <v>167.77</v>
      </c>
      <c r="U81" s="22">
        <f t="shared" si="21"/>
        <v>217.2</v>
      </c>
      <c r="V81" s="4"/>
      <c r="W81" s="4">
        <f t="shared" si="4"/>
        <v>212.3</v>
      </c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>
      <c r="A82" s="19"/>
      <c r="B82" s="19"/>
      <c r="C82" s="19"/>
      <c r="D82" s="19"/>
      <c r="E82" s="19"/>
      <c r="F82" s="11" t="s">
        <v>25</v>
      </c>
      <c r="G82" s="12">
        <f t="shared" si="27"/>
        <v>4.9</v>
      </c>
      <c r="H82" s="13">
        <v>62.0</v>
      </c>
      <c r="I82" s="13">
        <v>14.76</v>
      </c>
      <c r="J82" s="13">
        <v>539.0</v>
      </c>
      <c r="K82" s="13">
        <v>13.86</v>
      </c>
      <c r="L82" s="11">
        <v>10.0</v>
      </c>
      <c r="M82" s="11">
        <v>1.01</v>
      </c>
      <c r="N82" s="14">
        <v>0.18</v>
      </c>
      <c r="O82" s="13">
        <v>20.81</v>
      </c>
      <c r="P82" s="11">
        <v>12.0</v>
      </c>
      <c r="Q82" s="11">
        <v>0.38</v>
      </c>
      <c r="R82" s="11">
        <f t="shared" si="20"/>
        <v>22</v>
      </c>
      <c r="S82" s="15">
        <v>0.0422</v>
      </c>
      <c r="T82" s="11">
        <v>92.65</v>
      </c>
      <c r="U82" s="22">
        <f t="shared" si="21"/>
        <v>143.09</v>
      </c>
      <c r="V82" s="4"/>
      <c r="W82" s="4">
        <f t="shared" si="4"/>
        <v>138.19</v>
      </c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>
      <c r="A83" s="9">
        <v>343.0</v>
      </c>
      <c r="B83" s="9" t="s">
        <v>40</v>
      </c>
      <c r="C83" s="9" t="s">
        <v>41</v>
      </c>
      <c r="D83" s="9" t="s">
        <v>44</v>
      </c>
      <c r="E83" s="10">
        <v>881.5</v>
      </c>
      <c r="F83" s="11" t="s">
        <v>22</v>
      </c>
      <c r="G83" s="12">
        <f t="shared" ref="G83:G86" si="28">2.53+1.56</f>
        <v>4.09</v>
      </c>
      <c r="H83" s="13">
        <v>62.0</v>
      </c>
      <c r="I83" s="13">
        <v>5.19</v>
      </c>
      <c r="J83" s="13">
        <v>911.0</v>
      </c>
      <c r="K83" s="13">
        <v>20.97</v>
      </c>
      <c r="L83" s="11">
        <v>17.0</v>
      </c>
      <c r="M83" s="11">
        <v>0.34</v>
      </c>
      <c r="N83" s="14">
        <v>0.24</v>
      </c>
      <c r="O83" s="13">
        <v>26.82</v>
      </c>
      <c r="P83" s="11">
        <v>23.0</v>
      </c>
      <c r="Q83" s="11">
        <v>0.6</v>
      </c>
      <c r="R83" s="11">
        <f t="shared" si="20"/>
        <v>40</v>
      </c>
      <c r="S83" s="15">
        <v>0.0454</v>
      </c>
      <c r="T83" s="11">
        <v>169.35</v>
      </c>
      <c r="U83" s="22">
        <f t="shared" si="21"/>
        <v>222.67</v>
      </c>
      <c r="V83" s="4"/>
      <c r="W83" s="4">
        <f t="shared" si="4"/>
        <v>218.58</v>
      </c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>
      <c r="A84" s="18"/>
      <c r="B84" s="18"/>
      <c r="C84" s="18"/>
      <c r="D84" s="18"/>
      <c r="E84" s="18"/>
      <c r="F84" s="11" t="s">
        <v>23</v>
      </c>
      <c r="G84" s="12">
        <f t="shared" si="28"/>
        <v>4.09</v>
      </c>
      <c r="H84" s="13">
        <v>62.0</v>
      </c>
      <c r="I84" s="13">
        <v>5.19</v>
      </c>
      <c r="J84" s="13">
        <v>911.0</v>
      </c>
      <c r="K84" s="13">
        <v>20.97</v>
      </c>
      <c r="L84" s="11">
        <v>17.0</v>
      </c>
      <c r="M84" s="11">
        <v>0.77</v>
      </c>
      <c r="N84" s="14">
        <v>0.24</v>
      </c>
      <c r="O84" s="13">
        <v>26.82</v>
      </c>
      <c r="P84" s="11">
        <v>23.0</v>
      </c>
      <c r="Q84" s="11">
        <v>0.59</v>
      </c>
      <c r="R84" s="21">
        <f t="shared" si="20"/>
        <v>40</v>
      </c>
      <c r="S84" s="15">
        <v>0.0454</v>
      </c>
      <c r="T84" s="11">
        <v>169.53</v>
      </c>
      <c r="U84" s="22">
        <f t="shared" si="21"/>
        <v>223.28</v>
      </c>
      <c r="V84" s="4"/>
      <c r="W84" s="4">
        <f t="shared" si="4"/>
        <v>219.19</v>
      </c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>
      <c r="A85" s="18"/>
      <c r="B85" s="18"/>
      <c r="C85" s="18"/>
      <c r="D85" s="18"/>
      <c r="E85" s="18"/>
      <c r="F85" s="11" t="s">
        <v>24</v>
      </c>
      <c r="G85" s="12">
        <f t="shared" si="28"/>
        <v>4.09</v>
      </c>
      <c r="H85" s="13">
        <v>62.0</v>
      </c>
      <c r="I85" s="13">
        <v>5.19</v>
      </c>
      <c r="J85" s="13">
        <v>911.0</v>
      </c>
      <c r="K85" s="13">
        <v>20.97</v>
      </c>
      <c r="L85" s="11">
        <v>78.0</v>
      </c>
      <c r="M85" s="11">
        <v>0.0</v>
      </c>
      <c r="N85" s="14">
        <v>0.0</v>
      </c>
      <c r="O85" s="13">
        <v>26.82</v>
      </c>
      <c r="P85" s="11">
        <v>0.0</v>
      </c>
      <c r="Q85" s="11">
        <v>0.0</v>
      </c>
      <c r="R85" s="21">
        <f t="shared" si="20"/>
        <v>78</v>
      </c>
      <c r="S85" s="15">
        <v>0.0885</v>
      </c>
      <c r="T85" s="11">
        <v>299.45</v>
      </c>
      <c r="U85" s="22">
        <f t="shared" si="21"/>
        <v>352.43</v>
      </c>
      <c r="V85" s="4"/>
      <c r="W85" s="4">
        <f t="shared" si="4"/>
        <v>348.34</v>
      </c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>
      <c r="A86" s="19"/>
      <c r="B86" s="19"/>
      <c r="C86" s="19"/>
      <c r="D86" s="19"/>
      <c r="E86" s="19"/>
      <c r="F86" s="11" t="s">
        <v>25</v>
      </c>
      <c r="G86" s="12">
        <f t="shared" si="28"/>
        <v>4.09</v>
      </c>
      <c r="H86" s="13">
        <v>62.0</v>
      </c>
      <c r="I86" s="13">
        <v>5.19</v>
      </c>
      <c r="J86" s="13">
        <v>911.0</v>
      </c>
      <c r="K86" s="13">
        <v>20.97</v>
      </c>
      <c r="L86" s="11">
        <v>11.0</v>
      </c>
      <c r="M86" s="11">
        <v>1.89</v>
      </c>
      <c r="N86" s="14">
        <v>0.14</v>
      </c>
      <c r="O86" s="13">
        <v>26.82</v>
      </c>
      <c r="P86" s="11">
        <v>26.0</v>
      </c>
      <c r="Q86" s="11">
        <v>0.73</v>
      </c>
      <c r="R86" s="11">
        <f t="shared" si="20"/>
        <v>37</v>
      </c>
      <c r="S86" s="15">
        <v>0.042</v>
      </c>
      <c r="T86" s="11">
        <v>155.87</v>
      </c>
      <c r="U86" s="22">
        <f t="shared" si="21"/>
        <v>210.74</v>
      </c>
      <c r="V86" s="4"/>
      <c r="W86" s="4">
        <f t="shared" si="4"/>
        <v>206.65</v>
      </c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>
      <c r="A87" s="9">
        <v>344.0</v>
      </c>
      <c r="B87" s="9" t="s">
        <v>40</v>
      </c>
      <c r="C87" s="9" t="s">
        <v>41</v>
      </c>
      <c r="D87" s="9" t="s">
        <v>44</v>
      </c>
      <c r="E87" s="10">
        <v>664.9</v>
      </c>
      <c r="F87" s="11" t="s">
        <v>22</v>
      </c>
      <c r="G87" s="12">
        <f t="shared" ref="G87:G90" si="29">4.24+1.17</f>
        <v>5.41</v>
      </c>
      <c r="H87" s="13">
        <v>62.0</v>
      </c>
      <c r="I87" s="13">
        <v>5.09</v>
      </c>
      <c r="J87" s="13">
        <v>665.0</v>
      </c>
      <c r="K87" s="13">
        <v>14.87</v>
      </c>
      <c r="L87" s="11">
        <v>105.0</v>
      </c>
      <c r="M87" s="11">
        <v>0.25</v>
      </c>
      <c r="N87" s="14">
        <v>1.98</v>
      </c>
      <c r="O87" s="13">
        <v>24.73</v>
      </c>
      <c r="P87" s="11">
        <v>0.0</v>
      </c>
      <c r="Q87" s="11">
        <v>0.0</v>
      </c>
      <c r="R87" s="11">
        <f t="shared" si="20"/>
        <v>105</v>
      </c>
      <c r="S87" s="15">
        <v>0.1579</v>
      </c>
      <c r="T87" s="11">
        <v>440.38</v>
      </c>
      <c r="U87" s="22">
        <f t="shared" si="21"/>
        <v>485.32</v>
      </c>
      <c r="V87" s="4"/>
      <c r="W87" s="4">
        <f t="shared" si="4"/>
        <v>479.91</v>
      </c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>
      <c r="A88" s="18"/>
      <c r="B88" s="18"/>
      <c r="C88" s="18"/>
      <c r="D88" s="18"/>
      <c r="E88" s="18"/>
      <c r="F88" s="11" t="s">
        <v>23</v>
      </c>
      <c r="G88" s="12">
        <f t="shared" si="29"/>
        <v>5.41</v>
      </c>
      <c r="H88" s="13">
        <v>62.0</v>
      </c>
      <c r="I88" s="13">
        <v>5.09</v>
      </c>
      <c r="J88" s="13">
        <v>665.0</v>
      </c>
      <c r="K88" s="13">
        <v>14.87</v>
      </c>
      <c r="L88" s="11">
        <v>87.0</v>
      </c>
      <c r="M88" s="11">
        <v>0.56</v>
      </c>
      <c r="N88" s="14">
        <v>1.72</v>
      </c>
      <c r="O88" s="13">
        <v>24.73</v>
      </c>
      <c r="P88" s="11">
        <v>2.0</v>
      </c>
      <c r="Q88" s="11">
        <v>0.06</v>
      </c>
      <c r="R88" s="21">
        <f t="shared" si="20"/>
        <v>89</v>
      </c>
      <c r="S88" s="15">
        <v>0.1339</v>
      </c>
      <c r="T88" s="11">
        <v>372.25</v>
      </c>
      <c r="U88" s="22">
        <f t="shared" si="21"/>
        <v>417.5</v>
      </c>
      <c r="V88" s="4"/>
      <c r="W88" s="4">
        <f t="shared" si="4"/>
        <v>412.09</v>
      </c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>
      <c r="A89" s="18"/>
      <c r="B89" s="18"/>
      <c r="C89" s="18"/>
      <c r="D89" s="18"/>
      <c r="E89" s="18"/>
      <c r="F89" s="11" t="s">
        <v>24</v>
      </c>
      <c r="G89" s="12">
        <f t="shared" si="29"/>
        <v>5.41</v>
      </c>
      <c r="H89" s="13">
        <v>62.0</v>
      </c>
      <c r="I89" s="13">
        <v>5.09</v>
      </c>
      <c r="J89" s="13">
        <v>665.0</v>
      </c>
      <c r="K89" s="13">
        <v>14.87</v>
      </c>
      <c r="L89" s="11">
        <v>65.0</v>
      </c>
      <c r="M89" s="11">
        <v>0.0</v>
      </c>
      <c r="N89" s="14">
        <v>0.0</v>
      </c>
      <c r="O89" s="13">
        <v>24.73</v>
      </c>
      <c r="P89" s="11">
        <v>0.0</v>
      </c>
      <c r="Q89" s="11">
        <v>0.0</v>
      </c>
      <c r="R89" s="21">
        <f t="shared" si="20"/>
        <v>65</v>
      </c>
      <c r="S89" s="15">
        <v>0.0978</v>
      </c>
      <c r="T89" s="11">
        <v>247.52</v>
      </c>
      <c r="U89" s="22">
        <f t="shared" si="21"/>
        <v>292.21</v>
      </c>
      <c r="V89" s="4"/>
      <c r="W89" s="4">
        <f t="shared" si="4"/>
        <v>286.8</v>
      </c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>
      <c r="A90" s="19"/>
      <c r="B90" s="19"/>
      <c r="C90" s="19"/>
      <c r="D90" s="19"/>
      <c r="E90" s="19"/>
      <c r="F90" s="11" t="s">
        <v>25</v>
      </c>
      <c r="G90" s="12">
        <f t="shared" si="29"/>
        <v>5.41</v>
      </c>
      <c r="H90" s="13">
        <v>62.0</v>
      </c>
      <c r="I90" s="13">
        <v>5.09</v>
      </c>
      <c r="J90" s="13">
        <v>665.0</v>
      </c>
      <c r="K90" s="13">
        <v>14.87</v>
      </c>
      <c r="L90" s="11">
        <v>30.0</v>
      </c>
      <c r="M90" s="11">
        <v>2.26</v>
      </c>
      <c r="N90" s="14">
        <v>0.6</v>
      </c>
      <c r="O90" s="13">
        <v>24.73</v>
      </c>
      <c r="P90" s="11">
        <v>13.0</v>
      </c>
      <c r="Q90" s="11">
        <v>0.44</v>
      </c>
      <c r="R90" s="11">
        <f t="shared" si="20"/>
        <v>43</v>
      </c>
      <c r="S90" s="15">
        <v>0.0647</v>
      </c>
      <c r="T90" s="11">
        <v>180.38</v>
      </c>
      <c r="U90" s="22">
        <f t="shared" si="21"/>
        <v>227.33</v>
      </c>
      <c r="V90" s="4"/>
      <c r="W90" s="4">
        <f t="shared" si="4"/>
        <v>221.92</v>
      </c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>
      <c r="A91" s="9">
        <v>381.0</v>
      </c>
      <c r="B91" s="9" t="s">
        <v>40</v>
      </c>
      <c r="C91" s="9" t="s">
        <v>41</v>
      </c>
      <c r="D91" s="9" t="s">
        <v>29</v>
      </c>
      <c r="E91" s="10">
        <v>338.3</v>
      </c>
      <c r="F91" s="11" t="s">
        <v>22</v>
      </c>
      <c r="G91" s="13">
        <f t="shared" ref="G91:G94" si="30">2.45+0.68</f>
        <v>3.13</v>
      </c>
      <c r="H91" s="13">
        <v>62.0</v>
      </c>
      <c r="I91" s="13">
        <v>4.95</v>
      </c>
      <c r="J91" s="13">
        <v>353.0</v>
      </c>
      <c r="K91" s="13">
        <v>7.73</v>
      </c>
      <c r="L91" s="11">
        <v>38.0</v>
      </c>
      <c r="M91" s="11">
        <v>0.13</v>
      </c>
      <c r="N91" s="14">
        <v>0.58</v>
      </c>
      <c r="O91" s="13">
        <v>26.0</v>
      </c>
      <c r="P91" s="11">
        <v>2.0</v>
      </c>
      <c r="Q91" s="11">
        <v>0.05</v>
      </c>
      <c r="R91" s="11">
        <f t="shared" si="20"/>
        <v>40</v>
      </c>
      <c r="S91" s="15">
        <v>0.1182</v>
      </c>
      <c r="T91" s="11">
        <v>167.42</v>
      </c>
      <c r="U91" s="22">
        <f t="shared" si="21"/>
        <v>206.23</v>
      </c>
      <c r="V91" s="4"/>
      <c r="W91" s="4">
        <f t="shared" si="4"/>
        <v>203.1</v>
      </c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>
      <c r="A92" s="18"/>
      <c r="B92" s="18"/>
      <c r="C92" s="18"/>
      <c r="D92" s="18"/>
      <c r="E92" s="18"/>
      <c r="F92" s="11" t="s">
        <v>23</v>
      </c>
      <c r="G92" s="13">
        <f t="shared" si="30"/>
        <v>3.13</v>
      </c>
      <c r="H92" s="13">
        <v>62.0</v>
      </c>
      <c r="I92" s="13">
        <v>4.95</v>
      </c>
      <c r="J92" s="13">
        <v>353.0</v>
      </c>
      <c r="K92" s="13">
        <v>7.73</v>
      </c>
      <c r="L92" s="11">
        <v>38.0</v>
      </c>
      <c r="M92" s="11">
        <v>0.32</v>
      </c>
      <c r="N92" s="14">
        <v>0.58</v>
      </c>
      <c r="O92" s="13">
        <v>26.0</v>
      </c>
      <c r="P92" s="11">
        <v>2.0</v>
      </c>
      <c r="Q92" s="11">
        <v>0.05</v>
      </c>
      <c r="R92" s="21">
        <f t="shared" si="20"/>
        <v>40</v>
      </c>
      <c r="S92" s="15">
        <v>0.1182</v>
      </c>
      <c r="T92" s="11">
        <v>168.11</v>
      </c>
      <c r="U92" s="22">
        <f t="shared" si="21"/>
        <v>207.11</v>
      </c>
      <c r="V92" s="4"/>
      <c r="W92" s="4">
        <f t="shared" si="4"/>
        <v>203.98</v>
      </c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>
      <c r="A93" s="18"/>
      <c r="B93" s="18"/>
      <c r="C93" s="18"/>
      <c r="D93" s="18"/>
      <c r="E93" s="18"/>
      <c r="F93" s="11" t="s">
        <v>24</v>
      </c>
      <c r="G93" s="13">
        <f t="shared" si="30"/>
        <v>3.13</v>
      </c>
      <c r="H93" s="13">
        <v>62.0</v>
      </c>
      <c r="I93" s="13">
        <v>4.95</v>
      </c>
      <c r="J93" s="13">
        <v>353.0</v>
      </c>
      <c r="K93" s="13">
        <v>7.73</v>
      </c>
      <c r="L93" s="11">
        <v>32.0</v>
      </c>
      <c r="M93" s="11">
        <v>0.0</v>
      </c>
      <c r="N93" s="14">
        <v>0.0</v>
      </c>
      <c r="O93" s="13">
        <v>26.0</v>
      </c>
      <c r="P93" s="11">
        <v>0.0</v>
      </c>
      <c r="Q93" s="11">
        <v>0.0</v>
      </c>
      <c r="R93" s="21">
        <f t="shared" si="20"/>
        <v>32</v>
      </c>
      <c r="S93" s="15">
        <v>0.0946</v>
      </c>
      <c r="T93" s="11">
        <v>122.99</v>
      </c>
      <c r="U93" s="22">
        <f t="shared" si="21"/>
        <v>161.67</v>
      </c>
      <c r="V93" s="4"/>
      <c r="W93" s="4">
        <f t="shared" si="4"/>
        <v>158.54</v>
      </c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>
      <c r="A94" s="19"/>
      <c r="B94" s="19"/>
      <c r="C94" s="19"/>
      <c r="D94" s="19"/>
      <c r="E94" s="19"/>
      <c r="F94" s="11" t="s">
        <v>25</v>
      </c>
      <c r="G94" s="13">
        <f t="shared" si="30"/>
        <v>3.13</v>
      </c>
      <c r="H94" s="13">
        <v>62.0</v>
      </c>
      <c r="I94" s="13">
        <v>4.95</v>
      </c>
      <c r="J94" s="13">
        <v>353.0</v>
      </c>
      <c r="K94" s="13">
        <v>7.73</v>
      </c>
      <c r="L94" s="11">
        <v>17.0</v>
      </c>
      <c r="M94" s="11">
        <v>1.14</v>
      </c>
      <c r="N94" s="14">
        <v>0.22</v>
      </c>
      <c r="O94" s="13">
        <v>26.0</v>
      </c>
      <c r="P94" s="11">
        <v>6.0</v>
      </c>
      <c r="Q94" s="11">
        <v>0.16</v>
      </c>
      <c r="R94" s="11">
        <f t="shared" si="20"/>
        <v>23</v>
      </c>
      <c r="S94" s="15">
        <v>0.068</v>
      </c>
      <c r="T94" s="11">
        <v>95.61</v>
      </c>
      <c r="U94" s="22">
        <f t="shared" si="21"/>
        <v>135.43</v>
      </c>
      <c r="V94" s="4"/>
      <c r="W94" s="4">
        <f t="shared" si="4"/>
        <v>132.3</v>
      </c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>
      <c r="A95" s="9">
        <v>382.0</v>
      </c>
      <c r="B95" s="9" t="s">
        <v>40</v>
      </c>
      <c r="C95" s="9" t="s">
        <v>41</v>
      </c>
      <c r="D95" s="9" t="s">
        <v>29</v>
      </c>
      <c r="E95" s="10">
        <v>396.8</v>
      </c>
      <c r="F95" s="11" t="s">
        <v>22</v>
      </c>
      <c r="G95" s="12">
        <f t="shared" ref="G95:G98" si="31">2.19+0.82</f>
        <v>3.01</v>
      </c>
      <c r="H95" s="13">
        <v>62.0</v>
      </c>
      <c r="I95" s="13">
        <v>4.97</v>
      </c>
      <c r="J95" s="13">
        <v>414.0</v>
      </c>
      <c r="K95" s="13">
        <v>8.98</v>
      </c>
      <c r="L95" s="11">
        <v>52.0</v>
      </c>
      <c r="M95" s="11">
        <v>0.16</v>
      </c>
      <c r="N95" s="14">
        <v>0.83</v>
      </c>
      <c r="O95" s="13">
        <v>15.4</v>
      </c>
      <c r="P95" s="11">
        <v>2.0</v>
      </c>
      <c r="Q95" s="11">
        <v>0.04</v>
      </c>
      <c r="R95" s="11">
        <f t="shared" si="20"/>
        <v>54</v>
      </c>
      <c r="S95" s="15">
        <v>0.1361</v>
      </c>
      <c r="T95" s="11">
        <v>228.46</v>
      </c>
      <c r="U95" s="22">
        <f t="shared" si="21"/>
        <v>257.97</v>
      </c>
      <c r="V95" s="4"/>
      <c r="W95" s="4">
        <f t="shared" si="4"/>
        <v>254.96</v>
      </c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>
      <c r="A96" s="18"/>
      <c r="B96" s="18"/>
      <c r="C96" s="18"/>
      <c r="D96" s="18"/>
      <c r="E96" s="18"/>
      <c r="F96" s="11" t="s">
        <v>23</v>
      </c>
      <c r="G96" s="12">
        <f t="shared" si="31"/>
        <v>3.01</v>
      </c>
      <c r="H96" s="13">
        <v>62.0</v>
      </c>
      <c r="I96" s="13">
        <v>4.97</v>
      </c>
      <c r="J96" s="13">
        <v>414.0</v>
      </c>
      <c r="K96" s="13">
        <v>8.98</v>
      </c>
      <c r="L96" s="11">
        <v>48.0</v>
      </c>
      <c r="M96" s="11">
        <v>0.35</v>
      </c>
      <c r="N96" s="14">
        <v>0.77</v>
      </c>
      <c r="O96" s="13">
        <v>15.4</v>
      </c>
      <c r="P96" s="11">
        <v>2.0</v>
      </c>
      <c r="Q96" s="11">
        <v>0.04</v>
      </c>
      <c r="R96" s="21">
        <f t="shared" si="20"/>
        <v>50</v>
      </c>
      <c r="S96" s="15">
        <v>0.126</v>
      </c>
      <c r="T96" s="11">
        <v>211.06</v>
      </c>
      <c r="U96" s="22">
        <f t="shared" si="21"/>
        <v>240.76</v>
      </c>
      <c r="V96" s="4"/>
      <c r="W96" s="4">
        <f t="shared" si="4"/>
        <v>237.75</v>
      </c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>
      <c r="A97" s="18"/>
      <c r="B97" s="18"/>
      <c r="C97" s="18"/>
      <c r="D97" s="18"/>
      <c r="E97" s="18"/>
      <c r="F97" s="11" t="s">
        <v>24</v>
      </c>
      <c r="G97" s="12">
        <f t="shared" si="31"/>
        <v>3.01</v>
      </c>
      <c r="H97" s="13">
        <v>62.0</v>
      </c>
      <c r="I97" s="13">
        <v>4.97</v>
      </c>
      <c r="J97" s="13">
        <v>414.0</v>
      </c>
      <c r="K97" s="13">
        <v>8.98</v>
      </c>
      <c r="L97" s="11">
        <v>39.0</v>
      </c>
      <c r="M97" s="11">
        <v>0.0</v>
      </c>
      <c r="N97" s="14">
        <v>0.0</v>
      </c>
      <c r="O97" s="13">
        <v>15.4</v>
      </c>
      <c r="P97" s="11">
        <v>0.0</v>
      </c>
      <c r="Q97" s="11">
        <v>0.0</v>
      </c>
      <c r="R97" s="21">
        <f t="shared" si="20"/>
        <v>39</v>
      </c>
      <c r="S97" s="15">
        <v>0.0983</v>
      </c>
      <c r="T97" s="11">
        <v>148.28</v>
      </c>
      <c r="U97" s="22">
        <f t="shared" si="21"/>
        <v>177.63</v>
      </c>
      <c r="V97" s="4"/>
      <c r="W97" s="4">
        <f t="shared" si="4"/>
        <v>174.62</v>
      </c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>
      <c r="A98" s="19"/>
      <c r="B98" s="19"/>
      <c r="C98" s="19"/>
      <c r="D98" s="19"/>
      <c r="E98" s="19"/>
      <c r="F98" s="11" t="s">
        <v>25</v>
      </c>
      <c r="G98" s="12">
        <f t="shared" si="31"/>
        <v>3.01</v>
      </c>
      <c r="H98" s="13">
        <v>62.0</v>
      </c>
      <c r="I98" s="13">
        <v>4.97</v>
      </c>
      <c r="J98" s="13">
        <v>414.0</v>
      </c>
      <c r="K98" s="13">
        <v>8.98</v>
      </c>
      <c r="L98" s="11">
        <v>33.0</v>
      </c>
      <c r="M98" s="11">
        <v>2.49</v>
      </c>
      <c r="N98" s="14">
        <v>0.53</v>
      </c>
      <c r="O98" s="13">
        <v>15.4</v>
      </c>
      <c r="P98" s="11">
        <v>1.0</v>
      </c>
      <c r="Q98" s="11">
        <v>0.03</v>
      </c>
      <c r="R98" s="11">
        <f t="shared" si="20"/>
        <v>34</v>
      </c>
      <c r="S98" s="15">
        <v>0.0857</v>
      </c>
      <c r="T98" s="11">
        <v>143.83</v>
      </c>
      <c r="U98" s="22">
        <f t="shared" si="21"/>
        <v>175.67</v>
      </c>
      <c r="V98" s="4"/>
      <c r="W98" s="4">
        <f t="shared" si="4"/>
        <v>172.66</v>
      </c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>
      <c r="A99" s="9">
        <v>383.0</v>
      </c>
      <c r="B99" s="9" t="s">
        <v>40</v>
      </c>
      <c r="C99" s="9" t="s">
        <v>41</v>
      </c>
      <c r="D99" s="9" t="s">
        <v>29</v>
      </c>
      <c r="E99" s="10">
        <v>1020.3</v>
      </c>
      <c r="F99" s="11" t="s">
        <v>22</v>
      </c>
      <c r="G99" s="12">
        <f t="shared" ref="G99:G102" si="32">3.93+1.72</f>
        <v>5.65</v>
      </c>
      <c r="H99" s="13">
        <v>62.0</v>
      </c>
      <c r="I99" s="13">
        <v>5.26</v>
      </c>
      <c r="J99" s="13">
        <v>1055.0</v>
      </c>
      <c r="K99" s="13">
        <v>25.53</v>
      </c>
      <c r="L99" s="11">
        <v>88.0</v>
      </c>
      <c r="M99" s="11">
        <v>0.39</v>
      </c>
      <c r="N99" s="14">
        <v>1.69</v>
      </c>
      <c r="O99" s="13">
        <v>43.43</v>
      </c>
      <c r="P99" s="11">
        <v>12.0</v>
      </c>
      <c r="Q99" s="11">
        <v>0.54</v>
      </c>
      <c r="R99" s="11">
        <f t="shared" si="20"/>
        <v>100</v>
      </c>
      <c r="S99" s="15">
        <v>0.098</v>
      </c>
      <c r="T99" s="11">
        <v>423.26</v>
      </c>
      <c r="U99" s="22">
        <f t="shared" si="21"/>
        <v>497.87</v>
      </c>
      <c r="V99" s="4"/>
      <c r="W99" s="4">
        <f t="shared" si="4"/>
        <v>492.22</v>
      </c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>
      <c r="A100" s="18"/>
      <c r="B100" s="18"/>
      <c r="C100" s="18"/>
      <c r="D100" s="18"/>
      <c r="E100" s="18"/>
      <c r="F100" s="11" t="s">
        <v>23</v>
      </c>
      <c r="G100" s="12">
        <f t="shared" si="32"/>
        <v>5.65</v>
      </c>
      <c r="H100" s="13">
        <v>62.0</v>
      </c>
      <c r="I100" s="13">
        <v>5.26</v>
      </c>
      <c r="J100" s="13">
        <v>1055.0</v>
      </c>
      <c r="K100" s="13">
        <v>25.53</v>
      </c>
      <c r="L100" s="11">
        <v>81.0</v>
      </c>
      <c r="M100" s="11">
        <v>0.9</v>
      </c>
      <c r="N100" s="14">
        <v>1.58</v>
      </c>
      <c r="O100" s="13">
        <v>43.43</v>
      </c>
      <c r="P100" s="11">
        <v>12.0</v>
      </c>
      <c r="Q100" s="11">
        <v>0.52</v>
      </c>
      <c r="R100" s="21">
        <f t="shared" si="20"/>
        <v>93</v>
      </c>
      <c r="S100" s="15">
        <v>0.0911</v>
      </c>
      <c r="T100" s="11">
        <v>393.22</v>
      </c>
      <c r="U100" s="22">
        <f t="shared" si="21"/>
        <v>468.34</v>
      </c>
      <c r="V100" s="4"/>
      <c r="W100" s="4">
        <f t="shared" si="4"/>
        <v>462.69</v>
      </c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>
      <c r="A101" s="18"/>
      <c r="B101" s="18"/>
      <c r="C101" s="18"/>
      <c r="D101" s="18"/>
      <c r="E101" s="18"/>
      <c r="F101" s="11" t="s">
        <v>24</v>
      </c>
      <c r="G101" s="12">
        <f t="shared" si="32"/>
        <v>5.65</v>
      </c>
      <c r="H101" s="13">
        <v>62.0</v>
      </c>
      <c r="I101" s="13">
        <v>5.26</v>
      </c>
      <c r="J101" s="13">
        <v>1055.0</v>
      </c>
      <c r="K101" s="13">
        <v>25.53</v>
      </c>
      <c r="L101" s="11">
        <v>102.0</v>
      </c>
      <c r="M101" s="11">
        <v>0.0</v>
      </c>
      <c r="N101" s="14">
        <v>0.0</v>
      </c>
      <c r="O101" s="13">
        <v>43.43</v>
      </c>
      <c r="P101" s="11">
        <v>0.0</v>
      </c>
      <c r="Q101" s="11">
        <v>0.0</v>
      </c>
      <c r="R101" s="21">
        <f t="shared" si="20"/>
        <v>102</v>
      </c>
      <c r="S101" s="15">
        <v>0.1</v>
      </c>
      <c r="T101" s="11">
        <v>393.99</v>
      </c>
      <c r="U101" s="22">
        <f t="shared" si="21"/>
        <v>468.21</v>
      </c>
      <c r="V101" s="4"/>
      <c r="W101" s="4">
        <f t="shared" si="4"/>
        <v>462.56</v>
      </c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>
      <c r="A102" s="19"/>
      <c r="B102" s="19"/>
      <c r="C102" s="19"/>
      <c r="D102" s="19"/>
      <c r="E102" s="19"/>
      <c r="F102" s="11" t="s">
        <v>25</v>
      </c>
      <c r="G102" s="12">
        <f t="shared" si="32"/>
        <v>5.65</v>
      </c>
      <c r="H102" s="13">
        <v>62.0</v>
      </c>
      <c r="I102" s="13">
        <v>5.26</v>
      </c>
      <c r="J102" s="13">
        <v>1055.0</v>
      </c>
      <c r="K102" s="13">
        <v>25.53</v>
      </c>
      <c r="L102" s="11">
        <v>45.0</v>
      </c>
      <c r="M102" s="11">
        <v>6.97</v>
      </c>
      <c r="N102" s="14">
        <v>0.95</v>
      </c>
      <c r="O102" s="13">
        <v>43.43</v>
      </c>
      <c r="P102" s="11">
        <v>21.0</v>
      </c>
      <c r="Q102" s="11">
        <v>0.85</v>
      </c>
      <c r="R102" s="11">
        <f t="shared" si="20"/>
        <v>66</v>
      </c>
      <c r="S102" s="15">
        <v>0.0647</v>
      </c>
      <c r="T102" s="11">
        <v>280.61</v>
      </c>
      <c r="U102" s="22">
        <f t="shared" si="21"/>
        <v>361.8</v>
      </c>
      <c r="V102" s="4"/>
      <c r="W102" s="4">
        <f t="shared" si="4"/>
        <v>356.15</v>
      </c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>
      <c r="A103" s="9">
        <v>391.0</v>
      </c>
      <c r="B103" s="9" t="s">
        <v>40</v>
      </c>
      <c r="C103" s="9" t="s">
        <v>30</v>
      </c>
      <c r="D103" s="9" t="s">
        <v>31</v>
      </c>
      <c r="E103" s="10">
        <v>677.2</v>
      </c>
      <c r="F103" s="11" t="s">
        <v>22</v>
      </c>
      <c r="G103" s="12">
        <f t="shared" ref="G103:G106" si="33">4.77+1.69</f>
        <v>6.46</v>
      </c>
      <c r="H103" s="13">
        <v>62.0</v>
      </c>
      <c r="I103" s="13">
        <v>19.84</v>
      </c>
      <c r="J103" s="13">
        <v>678.0</v>
      </c>
      <c r="K103" s="13">
        <v>16.18</v>
      </c>
      <c r="L103" s="11">
        <v>41.0</v>
      </c>
      <c r="M103" s="11">
        <v>0.25</v>
      </c>
      <c r="N103" s="14">
        <v>0.74</v>
      </c>
      <c r="O103" s="13">
        <v>21.71</v>
      </c>
      <c r="P103" s="11">
        <v>8.0</v>
      </c>
      <c r="Q103" s="11">
        <v>0.25</v>
      </c>
      <c r="R103" s="11">
        <f t="shared" si="20"/>
        <v>49</v>
      </c>
      <c r="S103" s="15">
        <v>0.0724</v>
      </c>
      <c r="T103" s="11">
        <v>206.72</v>
      </c>
      <c r="U103" s="22">
        <f t="shared" si="21"/>
        <v>264.7</v>
      </c>
      <c r="V103" s="4"/>
      <c r="W103" s="4">
        <f t="shared" si="4"/>
        <v>258.24</v>
      </c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>
      <c r="A104" s="18"/>
      <c r="B104" s="18"/>
      <c r="C104" s="18"/>
      <c r="D104" s="18"/>
      <c r="E104" s="18"/>
      <c r="F104" s="11" t="s">
        <v>23</v>
      </c>
      <c r="G104" s="12">
        <f t="shared" si="33"/>
        <v>6.46</v>
      </c>
      <c r="H104" s="13">
        <v>62.0</v>
      </c>
      <c r="I104" s="13">
        <v>19.84</v>
      </c>
      <c r="J104" s="13">
        <v>678.0</v>
      </c>
      <c r="K104" s="13">
        <v>16.18</v>
      </c>
      <c r="L104" s="11">
        <v>34.0</v>
      </c>
      <c r="M104" s="11">
        <v>0.55</v>
      </c>
      <c r="N104" s="14">
        <v>0.58</v>
      </c>
      <c r="O104" s="13">
        <v>21.71</v>
      </c>
      <c r="P104" s="11">
        <v>9.0</v>
      </c>
      <c r="Q104" s="11">
        <v>0.29</v>
      </c>
      <c r="R104" s="21">
        <f t="shared" si="20"/>
        <v>43</v>
      </c>
      <c r="S104" s="15">
        <v>0.0635</v>
      </c>
      <c r="T104" s="11">
        <v>180.79</v>
      </c>
      <c r="U104" s="22">
        <f t="shared" si="21"/>
        <v>239.07</v>
      </c>
      <c r="V104" s="4"/>
      <c r="W104" s="4">
        <f t="shared" si="4"/>
        <v>232.61</v>
      </c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>
      <c r="A105" s="18"/>
      <c r="B105" s="18"/>
      <c r="C105" s="18"/>
      <c r="D105" s="18"/>
      <c r="E105" s="18"/>
      <c r="F105" s="11" t="s">
        <v>24</v>
      </c>
      <c r="G105" s="12">
        <f t="shared" si="33"/>
        <v>6.46</v>
      </c>
      <c r="H105" s="13">
        <v>62.0</v>
      </c>
      <c r="I105" s="13">
        <v>19.84</v>
      </c>
      <c r="J105" s="13">
        <v>678.0</v>
      </c>
      <c r="K105" s="13">
        <v>16.18</v>
      </c>
      <c r="L105" s="11">
        <v>62.0</v>
      </c>
      <c r="M105" s="11">
        <v>0.0</v>
      </c>
      <c r="N105" s="14">
        <v>0.0</v>
      </c>
      <c r="O105" s="13">
        <v>21.71</v>
      </c>
      <c r="P105" s="11">
        <v>0.0</v>
      </c>
      <c r="Q105" s="11">
        <v>0.0</v>
      </c>
      <c r="R105" s="21">
        <f t="shared" si="20"/>
        <v>62</v>
      </c>
      <c r="S105" s="15">
        <v>0.0916</v>
      </c>
      <c r="T105" s="11">
        <v>236.72</v>
      </c>
      <c r="U105" s="22">
        <f t="shared" si="21"/>
        <v>294.45</v>
      </c>
      <c r="V105" s="4"/>
      <c r="W105" s="4">
        <f t="shared" si="4"/>
        <v>287.99</v>
      </c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>
      <c r="A106" s="19"/>
      <c r="B106" s="19"/>
      <c r="C106" s="19"/>
      <c r="D106" s="19"/>
      <c r="E106" s="19"/>
      <c r="F106" s="11" t="s">
        <v>25</v>
      </c>
      <c r="G106" s="12">
        <f t="shared" si="33"/>
        <v>6.46</v>
      </c>
      <c r="H106" s="13">
        <v>62.0</v>
      </c>
      <c r="I106" s="13">
        <v>19.84</v>
      </c>
      <c r="J106" s="13">
        <v>678.0</v>
      </c>
      <c r="K106" s="13">
        <v>16.18</v>
      </c>
      <c r="L106" s="11">
        <v>28.0</v>
      </c>
      <c r="M106" s="11">
        <v>2.65</v>
      </c>
      <c r="N106" s="14">
        <v>0.43</v>
      </c>
      <c r="O106" s="13">
        <v>21.71</v>
      </c>
      <c r="P106" s="11">
        <v>10.0</v>
      </c>
      <c r="Q106" s="11">
        <v>0.28</v>
      </c>
      <c r="R106" s="11">
        <f t="shared" si="20"/>
        <v>38</v>
      </c>
      <c r="S106" s="15">
        <v>0.0561</v>
      </c>
      <c r="T106" s="11">
        <v>160.01</v>
      </c>
      <c r="U106" s="22">
        <f t="shared" si="21"/>
        <v>220.39</v>
      </c>
      <c r="V106" s="4"/>
      <c r="W106" s="4">
        <f t="shared" si="4"/>
        <v>213.93</v>
      </c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>
      <c r="A107" s="9">
        <v>392.0</v>
      </c>
      <c r="B107" s="9" t="s">
        <v>40</v>
      </c>
      <c r="C107" s="9" t="s">
        <v>30</v>
      </c>
      <c r="D107" s="9" t="s">
        <v>31</v>
      </c>
      <c r="E107" s="10">
        <v>330.6</v>
      </c>
      <c r="F107" s="11" t="s">
        <v>22</v>
      </c>
      <c r="G107" s="12">
        <f t="shared" ref="G107:G110" si="34">2.08+0.64</f>
        <v>2.72</v>
      </c>
      <c r="H107" s="13">
        <v>62.0</v>
      </c>
      <c r="I107" s="13">
        <v>5.23</v>
      </c>
      <c r="J107" s="13">
        <v>345.0</v>
      </c>
      <c r="K107" s="13">
        <v>7.8</v>
      </c>
      <c r="L107" s="11">
        <v>9.0</v>
      </c>
      <c r="M107" s="11">
        <v>0.13</v>
      </c>
      <c r="N107" s="14">
        <v>0.2</v>
      </c>
      <c r="O107" s="13">
        <v>13.55</v>
      </c>
      <c r="P107" s="11">
        <v>3.0</v>
      </c>
      <c r="Q107" s="11">
        <v>0.1</v>
      </c>
      <c r="R107" s="11">
        <f t="shared" si="20"/>
        <v>12</v>
      </c>
      <c r="S107" s="15">
        <v>0.0363</v>
      </c>
      <c r="T107" s="11">
        <v>51.18</v>
      </c>
      <c r="U107" s="22">
        <f t="shared" si="21"/>
        <v>77.89</v>
      </c>
      <c r="V107" s="4"/>
      <c r="W107" s="4">
        <f t="shared" si="4"/>
        <v>75.17</v>
      </c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>
      <c r="A108" s="18"/>
      <c r="B108" s="18"/>
      <c r="C108" s="18"/>
      <c r="D108" s="18"/>
      <c r="E108" s="18"/>
      <c r="F108" s="11" t="s">
        <v>23</v>
      </c>
      <c r="G108" s="12">
        <f t="shared" si="34"/>
        <v>2.72</v>
      </c>
      <c r="H108" s="13">
        <v>62.0</v>
      </c>
      <c r="I108" s="13">
        <v>5.23</v>
      </c>
      <c r="J108" s="13">
        <v>345.0</v>
      </c>
      <c r="K108" s="13">
        <v>7.8</v>
      </c>
      <c r="L108" s="11">
        <v>9.0</v>
      </c>
      <c r="M108" s="11">
        <v>0.29</v>
      </c>
      <c r="N108" s="14">
        <v>0.2</v>
      </c>
      <c r="O108" s="13">
        <v>13.55</v>
      </c>
      <c r="P108" s="11">
        <v>3.0</v>
      </c>
      <c r="Q108" s="11">
        <v>0.1</v>
      </c>
      <c r="R108" s="21">
        <f t="shared" si="20"/>
        <v>12</v>
      </c>
      <c r="S108" s="15">
        <v>0.0363</v>
      </c>
      <c r="T108" s="11">
        <v>50.9</v>
      </c>
      <c r="U108" s="22">
        <f t="shared" si="21"/>
        <v>77.77</v>
      </c>
      <c r="V108" s="4"/>
      <c r="W108" s="4">
        <f t="shared" si="4"/>
        <v>75.05</v>
      </c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>
      <c r="A109" s="18"/>
      <c r="B109" s="18"/>
      <c r="C109" s="18"/>
      <c r="D109" s="18"/>
      <c r="E109" s="18"/>
      <c r="F109" s="11" t="s">
        <v>24</v>
      </c>
      <c r="G109" s="12">
        <f t="shared" si="34"/>
        <v>2.72</v>
      </c>
      <c r="H109" s="13">
        <v>62.0</v>
      </c>
      <c r="I109" s="13">
        <v>5.23</v>
      </c>
      <c r="J109" s="13">
        <v>345.0</v>
      </c>
      <c r="K109" s="13">
        <v>7.8</v>
      </c>
      <c r="L109" s="11">
        <v>28.0</v>
      </c>
      <c r="M109" s="11">
        <v>0.0</v>
      </c>
      <c r="N109" s="14">
        <v>0.0</v>
      </c>
      <c r="O109" s="13">
        <v>13.55</v>
      </c>
      <c r="P109" s="11">
        <v>0.0</v>
      </c>
      <c r="Q109" s="11">
        <v>0.0</v>
      </c>
      <c r="R109" s="21">
        <f t="shared" si="20"/>
        <v>28</v>
      </c>
      <c r="S109" s="15">
        <v>0.0847</v>
      </c>
      <c r="T109" s="11">
        <v>107.0</v>
      </c>
      <c r="U109" s="22">
        <f t="shared" si="21"/>
        <v>133.58</v>
      </c>
      <c r="V109" s="4"/>
      <c r="W109" s="4">
        <f t="shared" si="4"/>
        <v>130.86</v>
      </c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>
      <c r="A110" s="19"/>
      <c r="B110" s="19"/>
      <c r="C110" s="19"/>
      <c r="D110" s="19"/>
      <c r="E110" s="19"/>
      <c r="F110" s="11" t="s">
        <v>25</v>
      </c>
      <c r="G110" s="12">
        <f t="shared" si="34"/>
        <v>2.72</v>
      </c>
      <c r="H110" s="13">
        <v>62.0</v>
      </c>
      <c r="I110" s="13">
        <v>5.23</v>
      </c>
      <c r="J110" s="13">
        <v>345.0</v>
      </c>
      <c r="K110" s="13">
        <v>7.8</v>
      </c>
      <c r="L110" s="11">
        <v>11.0</v>
      </c>
      <c r="M110" s="11">
        <v>0.55</v>
      </c>
      <c r="N110" s="14">
        <v>0.2</v>
      </c>
      <c r="O110" s="13">
        <v>13.55</v>
      </c>
      <c r="P110" s="11">
        <v>6.0</v>
      </c>
      <c r="Q110" s="11">
        <v>0.2</v>
      </c>
      <c r="R110" s="11">
        <f t="shared" si="20"/>
        <v>17</v>
      </c>
      <c r="S110" s="15">
        <v>0.0514</v>
      </c>
      <c r="T110" s="11">
        <v>71.59</v>
      </c>
      <c r="U110" s="22">
        <f t="shared" si="21"/>
        <v>98.72</v>
      </c>
      <c r="V110" s="4"/>
      <c r="W110" s="4">
        <f t="shared" si="4"/>
        <v>96</v>
      </c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>
      <c r="A111" s="9">
        <v>393.0</v>
      </c>
      <c r="B111" s="9" t="s">
        <v>40</v>
      </c>
      <c r="C111" s="9" t="s">
        <v>30</v>
      </c>
      <c r="D111" s="9" t="s">
        <v>31</v>
      </c>
      <c r="E111" s="10">
        <v>411.3</v>
      </c>
      <c r="F111" s="11" t="s">
        <v>22</v>
      </c>
      <c r="G111" s="12">
        <f t="shared" ref="G111:G114" si="35">4.32+0.76</f>
        <v>5.08</v>
      </c>
      <c r="H111" s="13">
        <v>62.0</v>
      </c>
      <c r="I111" s="13">
        <v>5.02</v>
      </c>
      <c r="J111" s="13">
        <v>429.0</v>
      </c>
      <c r="K111" s="13">
        <v>9.46</v>
      </c>
      <c r="L111" s="11">
        <v>11.0</v>
      </c>
      <c r="M111" s="11">
        <v>0.17</v>
      </c>
      <c r="N111" s="14">
        <v>0.23</v>
      </c>
      <c r="O111" s="13">
        <v>27.03</v>
      </c>
      <c r="P111" s="11">
        <v>9.0</v>
      </c>
      <c r="Q111" s="11">
        <v>0.3</v>
      </c>
      <c r="R111" s="11">
        <f t="shared" si="20"/>
        <v>20</v>
      </c>
      <c r="S111" s="15">
        <v>0.0486</v>
      </c>
      <c r="T111" s="11">
        <v>84.94</v>
      </c>
      <c r="U111" s="22">
        <f t="shared" si="21"/>
        <v>126.62</v>
      </c>
      <c r="V111" s="4"/>
      <c r="W111" s="4">
        <f t="shared" si="4"/>
        <v>121.54</v>
      </c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>
      <c r="A112" s="18"/>
      <c r="B112" s="18"/>
      <c r="C112" s="18"/>
      <c r="D112" s="18"/>
      <c r="E112" s="18"/>
      <c r="F112" s="11" t="s">
        <v>23</v>
      </c>
      <c r="G112" s="12">
        <f t="shared" si="35"/>
        <v>5.08</v>
      </c>
      <c r="H112" s="13">
        <v>62.0</v>
      </c>
      <c r="I112" s="13">
        <v>5.02</v>
      </c>
      <c r="J112" s="13">
        <v>429.0</v>
      </c>
      <c r="K112" s="13">
        <v>9.46</v>
      </c>
      <c r="L112" s="11">
        <v>11.0</v>
      </c>
      <c r="M112" s="11">
        <v>0.36</v>
      </c>
      <c r="N112" s="14">
        <v>0.22</v>
      </c>
      <c r="O112" s="13">
        <v>27.03</v>
      </c>
      <c r="P112" s="11">
        <v>9.0</v>
      </c>
      <c r="Q112" s="11">
        <v>0.3</v>
      </c>
      <c r="R112" s="21">
        <f t="shared" si="20"/>
        <v>20</v>
      </c>
      <c r="S112" s="15">
        <v>0.0486</v>
      </c>
      <c r="T112" s="11">
        <v>84.64</v>
      </c>
      <c r="U112" s="22">
        <f t="shared" si="21"/>
        <v>126.51</v>
      </c>
      <c r="V112" s="4"/>
      <c r="W112" s="4">
        <f t="shared" si="4"/>
        <v>121.43</v>
      </c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>
      <c r="A113" s="18"/>
      <c r="B113" s="18"/>
      <c r="C113" s="18"/>
      <c r="D113" s="18"/>
      <c r="E113" s="18"/>
      <c r="F113" s="11" t="s">
        <v>24</v>
      </c>
      <c r="G113" s="12">
        <f t="shared" si="35"/>
        <v>5.08</v>
      </c>
      <c r="H113" s="13">
        <v>62.0</v>
      </c>
      <c r="I113" s="13">
        <v>5.02</v>
      </c>
      <c r="J113" s="13">
        <v>429.0</v>
      </c>
      <c r="K113" s="13">
        <v>9.46</v>
      </c>
      <c r="L113" s="11">
        <v>41.0</v>
      </c>
      <c r="M113" s="11">
        <v>0.0</v>
      </c>
      <c r="N113" s="14">
        <v>0.0</v>
      </c>
      <c r="O113" s="13">
        <v>27.03</v>
      </c>
      <c r="P113" s="11">
        <v>0.0</v>
      </c>
      <c r="Q113" s="11">
        <v>0.0</v>
      </c>
      <c r="R113" s="21">
        <f t="shared" si="20"/>
        <v>41</v>
      </c>
      <c r="S113" s="15">
        <v>0.0997</v>
      </c>
      <c r="T113" s="11">
        <v>157.63</v>
      </c>
      <c r="U113" s="22">
        <f t="shared" si="21"/>
        <v>199.14</v>
      </c>
      <c r="V113" s="4"/>
      <c r="W113" s="4">
        <f t="shared" si="4"/>
        <v>194.06</v>
      </c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>
      <c r="A114" s="19"/>
      <c r="B114" s="19"/>
      <c r="C114" s="19"/>
      <c r="D114" s="19"/>
      <c r="E114" s="19"/>
      <c r="F114" s="11" t="s">
        <v>25</v>
      </c>
      <c r="G114" s="12">
        <f t="shared" si="35"/>
        <v>5.08</v>
      </c>
      <c r="H114" s="13">
        <v>62.0</v>
      </c>
      <c r="I114" s="13">
        <v>5.02</v>
      </c>
      <c r="J114" s="13">
        <v>429.0</v>
      </c>
      <c r="K114" s="13">
        <v>9.46</v>
      </c>
      <c r="L114" s="11">
        <v>11.0</v>
      </c>
      <c r="M114" s="11">
        <v>0.69</v>
      </c>
      <c r="N114" s="14">
        <v>0.26</v>
      </c>
      <c r="O114" s="13">
        <v>27.03</v>
      </c>
      <c r="P114" s="11">
        <v>9.0</v>
      </c>
      <c r="Q114" s="11">
        <v>0.27</v>
      </c>
      <c r="R114" s="11">
        <f t="shared" si="20"/>
        <v>20</v>
      </c>
      <c r="S114" s="15">
        <v>0.0486</v>
      </c>
      <c r="T114" s="11">
        <v>84.39</v>
      </c>
      <c r="U114" s="22">
        <f t="shared" si="21"/>
        <v>126.59</v>
      </c>
      <c r="V114" s="4"/>
      <c r="W114" s="4">
        <f t="shared" si="4"/>
        <v>121.51</v>
      </c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>
      <c r="A115" s="9">
        <v>402.0</v>
      </c>
      <c r="B115" s="9" t="s">
        <v>40</v>
      </c>
      <c r="C115" s="9" t="s">
        <v>30</v>
      </c>
      <c r="D115" s="9" t="s">
        <v>32</v>
      </c>
      <c r="E115" s="10">
        <v>482.6</v>
      </c>
      <c r="F115" s="11" t="s">
        <v>22</v>
      </c>
      <c r="G115" s="13">
        <f t="shared" ref="G115:G118" si="36">1.87+0.86</f>
        <v>2.73</v>
      </c>
      <c r="H115" s="13">
        <v>62.0</v>
      </c>
      <c r="I115" s="13">
        <v>4.94</v>
      </c>
      <c r="J115" s="13">
        <v>504.0</v>
      </c>
      <c r="K115" s="13">
        <v>10.88</v>
      </c>
      <c r="L115" s="11">
        <v>18.0</v>
      </c>
      <c r="M115" s="11">
        <v>0.19</v>
      </c>
      <c r="N115" s="14">
        <v>0.36</v>
      </c>
      <c r="O115" s="13">
        <v>17.3</v>
      </c>
      <c r="P115" s="11">
        <v>12.0</v>
      </c>
      <c r="Q115" s="11">
        <v>0.48</v>
      </c>
      <c r="R115" s="11">
        <f t="shared" si="20"/>
        <v>30</v>
      </c>
      <c r="S115" s="15">
        <v>0.0622</v>
      </c>
      <c r="T115" s="11">
        <v>126.09</v>
      </c>
      <c r="U115" s="22">
        <f t="shared" si="21"/>
        <v>159.4</v>
      </c>
      <c r="V115" s="4"/>
      <c r="W115" s="4">
        <f t="shared" si="4"/>
        <v>156.67</v>
      </c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>
      <c r="A116" s="18"/>
      <c r="B116" s="18"/>
      <c r="C116" s="18"/>
      <c r="D116" s="18"/>
      <c r="E116" s="18"/>
      <c r="F116" s="11" t="s">
        <v>23</v>
      </c>
      <c r="G116" s="13">
        <f t="shared" si="36"/>
        <v>2.73</v>
      </c>
      <c r="H116" s="13">
        <v>62.0</v>
      </c>
      <c r="I116" s="13">
        <v>4.94</v>
      </c>
      <c r="J116" s="13">
        <v>504.0</v>
      </c>
      <c r="K116" s="13">
        <v>10.88</v>
      </c>
      <c r="L116" s="11">
        <v>18.0</v>
      </c>
      <c r="M116" s="11">
        <v>0.43</v>
      </c>
      <c r="N116" s="14">
        <v>0.36</v>
      </c>
      <c r="O116" s="13">
        <v>17.3</v>
      </c>
      <c r="P116" s="11">
        <v>12.0</v>
      </c>
      <c r="Q116" s="11">
        <v>0.48</v>
      </c>
      <c r="R116" s="21">
        <f t="shared" si="20"/>
        <v>30</v>
      </c>
      <c r="S116" s="15">
        <v>0.0622</v>
      </c>
      <c r="T116" s="11">
        <v>126.56</v>
      </c>
      <c r="U116" s="22">
        <f t="shared" si="21"/>
        <v>160.11</v>
      </c>
      <c r="V116" s="4"/>
      <c r="W116" s="4">
        <f t="shared" si="4"/>
        <v>157.38</v>
      </c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>
      <c r="A117" s="18"/>
      <c r="B117" s="18"/>
      <c r="C117" s="18"/>
      <c r="D117" s="18"/>
      <c r="E117" s="18"/>
      <c r="F117" s="11" t="s">
        <v>24</v>
      </c>
      <c r="G117" s="13">
        <f t="shared" si="36"/>
        <v>2.73</v>
      </c>
      <c r="H117" s="13">
        <v>62.0</v>
      </c>
      <c r="I117" s="13">
        <v>4.94</v>
      </c>
      <c r="J117" s="13">
        <v>504.0</v>
      </c>
      <c r="K117" s="13">
        <v>10.88</v>
      </c>
      <c r="L117" s="11">
        <v>48.0</v>
      </c>
      <c r="M117" s="11">
        <v>0.0</v>
      </c>
      <c r="N117" s="14">
        <v>0.0</v>
      </c>
      <c r="O117" s="13">
        <v>17.3</v>
      </c>
      <c r="P117" s="11">
        <v>0.0</v>
      </c>
      <c r="Q117" s="11">
        <v>0.0</v>
      </c>
      <c r="R117" s="21">
        <f t="shared" si="20"/>
        <v>48</v>
      </c>
      <c r="S117" s="15">
        <v>0.0995</v>
      </c>
      <c r="T117" s="11">
        <v>185.4</v>
      </c>
      <c r="U117" s="22">
        <f t="shared" si="21"/>
        <v>218.52</v>
      </c>
      <c r="V117" s="4"/>
      <c r="W117" s="4">
        <f t="shared" si="4"/>
        <v>215.79</v>
      </c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>
      <c r="A118" s="19"/>
      <c r="B118" s="19"/>
      <c r="C118" s="19"/>
      <c r="D118" s="19"/>
      <c r="E118" s="19"/>
      <c r="F118" s="11" t="s">
        <v>25</v>
      </c>
      <c r="G118" s="13">
        <f t="shared" si="36"/>
        <v>2.73</v>
      </c>
      <c r="H118" s="13">
        <v>62.0</v>
      </c>
      <c r="I118" s="13">
        <v>4.94</v>
      </c>
      <c r="J118" s="13">
        <v>504.0</v>
      </c>
      <c r="K118" s="13">
        <v>10.88</v>
      </c>
      <c r="L118" s="11">
        <v>18.0</v>
      </c>
      <c r="M118" s="11">
        <v>1.32</v>
      </c>
      <c r="N118" s="14">
        <v>0.35</v>
      </c>
      <c r="O118" s="13">
        <v>17.3</v>
      </c>
      <c r="P118" s="11">
        <v>9.0</v>
      </c>
      <c r="Q118" s="11">
        <v>0.31</v>
      </c>
      <c r="R118" s="11">
        <f t="shared" si="20"/>
        <v>27</v>
      </c>
      <c r="S118" s="15">
        <v>0.0559</v>
      </c>
      <c r="T118" s="11">
        <v>113.68</v>
      </c>
      <c r="U118" s="22">
        <f t="shared" si="21"/>
        <v>148.12</v>
      </c>
      <c r="V118" s="4"/>
      <c r="W118" s="4">
        <f t="shared" si="4"/>
        <v>145.39</v>
      </c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>
      <c r="A119" s="9">
        <v>403.0</v>
      </c>
      <c r="B119" s="9" t="s">
        <v>40</v>
      </c>
      <c r="C119" s="9" t="s">
        <v>30</v>
      </c>
      <c r="D119" s="9" t="s">
        <v>32</v>
      </c>
      <c r="E119" s="10">
        <v>255.5</v>
      </c>
      <c r="F119" s="11" t="s">
        <v>22</v>
      </c>
      <c r="G119" s="12">
        <f t="shared" ref="G119:G122" si="37">2.83+0.54</f>
        <v>3.37</v>
      </c>
      <c r="H119" s="13">
        <v>62.0</v>
      </c>
      <c r="I119" s="13">
        <v>5.03</v>
      </c>
      <c r="J119" s="13">
        <v>267.0</v>
      </c>
      <c r="K119" s="13">
        <v>5.9</v>
      </c>
      <c r="L119" s="11">
        <v>5.0</v>
      </c>
      <c r="M119" s="11">
        <v>0.1</v>
      </c>
      <c r="N119" s="14">
        <v>0.1</v>
      </c>
      <c r="O119" s="13">
        <v>10.82</v>
      </c>
      <c r="P119" s="11">
        <v>5.0</v>
      </c>
      <c r="Q119" s="11">
        <v>0.19</v>
      </c>
      <c r="R119" s="11">
        <f t="shared" si="20"/>
        <v>10</v>
      </c>
      <c r="S119" s="15">
        <v>0.0391</v>
      </c>
      <c r="T119" s="11">
        <v>42.52</v>
      </c>
      <c r="U119" s="22">
        <f t="shared" si="21"/>
        <v>64.37</v>
      </c>
      <c r="V119" s="4"/>
      <c r="W119" s="4">
        <f t="shared" si="4"/>
        <v>61</v>
      </c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>
      <c r="A120" s="18"/>
      <c r="B120" s="18"/>
      <c r="C120" s="18"/>
      <c r="D120" s="18"/>
      <c r="E120" s="18"/>
      <c r="F120" s="11" t="s">
        <v>23</v>
      </c>
      <c r="G120" s="12">
        <f t="shared" si="37"/>
        <v>3.37</v>
      </c>
      <c r="H120" s="13">
        <v>62.0</v>
      </c>
      <c r="I120" s="13">
        <v>5.03</v>
      </c>
      <c r="J120" s="13">
        <v>267.0</v>
      </c>
      <c r="K120" s="13">
        <v>5.9</v>
      </c>
      <c r="L120" s="11">
        <v>5.0</v>
      </c>
      <c r="M120" s="11">
        <v>0.22</v>
      </c>
      <c r="N120" s="14">
        <v>0.1</v>
      </c>
      <c r="O120" s="13">
        <v>10.82</v>
      </c>
      <c r="P120" s="11">
        <v>5.0</v>
      </c>
      <c r="Q120" s="11">
        <v>0.17</v>
      </c>
      <c r="R120" s="21">
        <f t="shared" si="20"/>
        <v>10</v>
      </c>
      <c r="S120" s="15">
        <v>0.0391</v>
      </c>
      <c r="T120" s="11">
        <v>42.51</v>
      </c>
      <c r="U120" s="22">
        <f t="shared" si="21"/>
        <v>64.48</v>
      </c>
      <c r="V120" s="4"/>
      <c r="W120" s="4">
        <f t="shared" si="4"/>
        <v>61.11</v>
      </c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>
      <c r="A121" s="18"/>
      <c r="B121" s="18"/>
      <c r="C121" s="18"/>
      <c r="D121" s="18"/>
      <c r="E121" s="18"/>
      <c r="F121" s="11" t="s">
        <v>24</v>
      </c>
      <c r="G121" s="12">
        <f t="shared" si="37"/>
        <v>3.37</v>
      </c>
      <c r="H121" s="13">
        <v>62.0</v>
      </c>
      <c r="I121" s="13">
        <v>5.03</v>
      </c>
      <c r="J121" s="13">
        <v>267.0</v>
      </c>
      <c r="K121" s="13">
        <v>5.9</v>
      </c>
      <c r="L121" s="11">
        <v>24.0</v>
      </c>
      <c r="M121" s="11">
        <v>0.0</v>
      </c>
      <c r="N121" s="14">
        <v>0.0</v>
      </c>
      <c r="O121" s="13">
        <v>10.82</v>
      </c>
      <c r="P121" s="11">
        <v>0.0</v>
      </c>
      <c r="Q121" s="11">
        <v>0.0</v>
      </c>
      <c r="R121" s="21">
        <f t="shared" si="20"/>
        <v>24</v>
      </c>
      <c r="S121" s="15">
        <v>0.0939</v>
      </c>
      <c r="T121" s="11">
        <v>92.31</v>
      </c>
      <c r="U121" s="22">
        <f t="shared" si="21"/>
        <v>114.06</v>
      </c>
      <c r="V121" s="4"/>
      <c r="W121" s="4">
        <f t="shared" si="4"/>
        <v>110.69</v>
      </c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>
      <c r="A122" s="19"/>
      <c r="B122" s="19"/>
      <c r="C122" s="19"/>
      <c r="D122" s="19"/>
      <c r="E122" s="19"/>
      <c r="F122" s="11" t="s">
        <v>25</v>
      </c>
      <c r="G122" s="12">
        <f t="shared" si="37"/>
        <v>3.37</v>
      </c>
      <c r="H122" s="13">
        <v>62.0</v>
      </c>
      <c r="I122" s="13">
        <v>5.03</v>
      </c>
      <c r="J122" s="13">
        <v>267.0</v>
      </c>
      <c r="K122" s="13">
        <v>5.9</v>
      </c>
      <c r="L122" s="11">
        <v>12.0</v>
      </c>
      <c r="M122" s="11">
        <v>0.39</v>
      </c>
      <c r="N122" s="14">
        <v>0.18</v>
      </c>
      <c r="O122" s="13">
        <v>10.82</v>
      </c>
      <c r="P122" s="11">
        <v>6.0</v>
      </c>
      <c r="Q122" s="11">
        <v>0.15</v>
      </c>
      <c r="R122" s="11">
        <f t="shared" si="20"/>
        <v>18</v>
      </c>
      <c r="S122" s="15">
        <v>0.0705</v>
      </c>
      <c r="T122" s="11">
        <v>75.85</v>
      </c>
      <c r="U122" s="22">
        <f t="shared" si="21"/>
        <v>97.99</v>
      </c>
      <c r="V122" s="4"/>
      <c r="W122" s="4">
        <f t="shared" si="4"/>
        <v>94.62</v>
      </c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>
      <c r="A123" s="9">
        <v>404.0</v>
      </c>
      <c r="B123" s="9" t="s">
        <v>40</v>
      </c>
      <c r="C123" s="9" t="s">
        <v>30</v>
      </c>
      <c r="D123" s="9" t="s">
        <v>32</v>
      </c>
      <c r="E123" s="10">
        <v>312.4</v>
      </c>
      <c r="F123" s="11" t="s">
        <v>22</v>
      </c>
      <c r="G123" s="12">
        <f t="shared" ref="G123:G126" si="38">1.79+0.63</f>
        <v>2.42</v>
      </c>
      <c r="H123" s="13">
        <v>62.0</v>
      </c>
      <c r="I123" s="13">
        <v>4.96</v>
      </c>
      <c r="J123" s="13">
        <v>326.0</v>
      </c>
      <c r="K123" s="13">
        <v>7.21</v>
      </c>
      <c r="L123" s="11">
        <v>27.0</v>
      </c>
      <c r="M123" s="11">
        <v>0.14</v>
      </c>
      <c r="N123" s="14">
        <v>0.48</v>
      </c>
      <c r="O123" s="13">
        <v>17.06</v>
      </c>
      <c r="P123" s="11">
        <v>4.0</v>
      </c>
      <c r="Q123" s="11">
        <v>0.11</v>
      </c>
      <c r="R123" s="11">
        <f t="shared" si="20"/>
        <v>31</v>
      </c>
      <c r="S123" s="15">
        <v>0.0992</v>
      </c>
      <c r="T123" s="11">
        <v>131.67</v>
      </c>
      <c r="U123" s="22">
        <f t="shared" si="21"/>
        <v>161.04</v>
      </c>
      <c r="V123" s="4"/>
      <c r="W123" s="4">
        <f t="shared" si="4"/>
        <v>158.62</v>
      </c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>
      <c r="A124" s="18"/>
      <c r="B124" s="18"/>
      <c r="C124" s="18"/>
      <c r="D124" s="18"/>
      <c r="E124" s="18"/>
      <c r="F124" s="11" t="s">
        <v>23</v>
      </c>
      <c r="G124" s="12">
        <f t="shared" si="38"/>
        <v>2.42</v>
      </c>
      <c r="H124" s="13">
        <v>62.0</v>
      </c>
      <c r="I124" s="13">
        <v>4.96</v>
      </c>
      <c r="J124" s="13">
        <v>326.0</v>
      </c>
      <c r="K124" s="13">
        <v>7.21</v>
      </c>
      <c r="L124" s="11">
        <v>20.0</v>
      </c>
      <c r="M124" s="11">
        <v>0.27</v>
      </c>
      <c r="N124" s="14">
        <v>0.36</v>
      </c>
      <c r="O124" s="13">
        <v>17.06</v>
      </c>
      <c r="P124" s="11">
        <v>4.0</v>
      </c>
      <c r="Q124" s="11">
        <v>0.11</v>
      </c>
      <c r="R124" s="21">
        <f t="shared" si="20"/>
        <v>24</v>
      </c>
      <c r="S124" s="15">
        <v>0.0768</v>
      </c>
      <c r="T124" s="11">
        <v>101.79</v>
      </c>
      <c r="U124" s="22">
        <f t="shared" si="21"/>
        <v>131.29</v>
      </c>
      <c r="V124" s="4"/>
      <c r="W124" s="4">
        <f t="shared" si="4"/>
        <v>128.87</v>
      </c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>
      <c r="A125" s="18"/>
      <c r="B125" s="18"/>
      <c r="C125" s="18"/>
      <c r="D125" s="18"/>
      <c r="E125" s="18"/>
      <c r="F125" s="11" t="s">
        <v>24</v>
      </c>
      <c r="G125" s="12">
        <f t="shared" si="38"/>
        <v>2.42</v>
      </c>
      <c r="H125" s="13">
        <v>62.0</v>
      </c>
      <c r="I125" s="13">
        <v>4.96</v>
      </c>
      <c r="J125" s="13">
        <v>326.0</v>
      </c>
      <c r="K125" s="13">
        <v>7.21</v>
      </c>
      <c r="L125" s="11">
        <v>30.0</v>
      </c>
      <c r="M125" s="11">
        <v>0.0</v>
      </c>
      <c r="N125" s="14">
        <v>0.0</v>
      </c>
      <c r="O125" s="13">
        <v>17.06</v>
      </c>
      <c r="P125" s="11">
        <v>0.0</v>
      </c>
      <c r="Q125" s="11">
        <v>0.0</v>
      </c>
      <c r="R125" s="21">
        <f t="shared" si="20"/>
        <v>30</v>
      </c>
      <c r="S125" s="15">
        <v>0.096</v>
      </c>
      <c r="T125" s="11">
        <v>115.47</v>
      </c>
      <c r="U125" s="22">
        <f t="shared" si="21"/>
        <v>144.7</v>
      </c>
      <c r="V125" s="4"/>
      <c r="W125" s="4">
        <f t="shared" si="4"/>
        <v>142.28</v>
      </c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>
      <c r="A126" s="19"/>
      <c r="B126" s="19"/>
      <c r="C126" s="19"/>
      <c r="D126" s="19"/>
      <c r="E126" s="19"/>
      <c r="F126" s="11" t="s">
        <v>25</v>
      </c>
      <c r="G126" s="12">
        <f t="shared" si="38"/>
        <v>2.42</v>
      </c>
      <c r="H126" s="13">
        <v>62.0</v>
      </c>
      <c r="I126" s="13">
        <v>4.96</v>
      </c>
      <c r="J126" s="13">
        <v>326.0</v>
      </c>
      <c r="K126" s="13">
        <v>7.21</v>
      </c>
      <c r="L126" s="11">
        <v>11.0</v>
      </c>
      <c r="M126" s="11">
        <v>0.62</v>
      </c>
      <c r="N126" s="14">
        <v>0.2</v>
      </c>
      <c r="O126" s="13">
        <v>17.06</v>
      </c>
      <c r="P126" s="11">
        <v>7.0</v>
      </c>
      <c r="Q126" s="11">
        <v>0.22</v>
      </c>
      <c r="R126" s="11">
        <f t="shared" si="20"/>
        <v>18</v>
      </c>
      <c r="S126" s="15">
        <v>0.0576</v>
      </c>
      <c r="T126" s="11">
        <v>76.06</v>
      </c>
      <c r="U126" s="22">
        <f t="shared" si="21"/>
        <v>105.91</v>
      </c>
      <c r="V126" s="4"/>
      <c r="W126" s="4">
        <f t="shared" si="4"/>
        <v>103.49</v>
      </c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>
      <c r="A127" s="9">
        <v>411.0</v>
      </c>
      <c r="B127" s="9" t="s">
        <v>40</v>
      </c>
      <c r="C127" s="9" t="s">
        <v>30</v>
      </c>
      <c r="D127" s="9" t="s">
        <v>45</v>
      </c>
      <c r="E127" s="10">
        <v>746.0</v>
      </c>
      <c r="F127" s="11" t="s">
        <v>22</v>
      </c>
      <c r="G127" s="12">
        <f t="shared" ref="G127:G130" si="39">3.92+1.79</f>
        <v>5.71</v>
      </c>
      <c r="H127" s="13">
        <v>62.0</v>
      </c>
      <c r="I127" s="13">
        <v>18.26</v>
      </c>
      <c r="J127" s="13">
        <v>746.0</v>
      </c>
      <c r="K127" s="13">
        <v>17.58</v>
      </c>
      <c r="L127" s="11">
        <v>85.0</v>
      </c>
      <c r="M127" s="11">
        <v>0.27</v>
      </c>
      <c r="N127" s="14">
        <v>1.81</v>
      </c>
      <c r="O127" s="13">
        <v>26.61</v>
      </c>
      <c r="P127" s="11">
        <v>2.0</v>
      </c>
      <c r="Q127" s="11">
        <v>0.07</v>
      </c>
      <c r="R127" s="11">
        <f t="shared" si="20"/>
        <v>87</v>
      </c>
      <c r="S127" s="15">
        <v>0.1166</v>
      </c>
      <c r="T127" s="11">
        <v>366.43</v>
      </c>
      <c r="U127" s="22">
        <f t="shared" si="21"/>
        <v>429.15</v>
      </c>
      <c r="V127" s="4"/>
      <c r="W127" s="4">
        <f t="shared" si="4"/>
        <v>423.44</v>
      </c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>
      <c r="A128" s="18"/>
      <c r="B128" s="18"/>
      <c r="C128" s="18"/>
      <c r="D128" s="18"/>
      <c r="E128" s="18"/>
      <c r="F128" s="11" t="s">
        <v>23</v>
      </c>
      <c r="G128" s="12">
        <f t="shared" si="39"/>
        <v>5.71</v>
      </c>
      <c r="H128" s="13">
        <v>62.0</v>
      </c>
      <c r="I128" s="13">
        <v>18.26</v>
      </c>
      <c r="J128" s="13">
        <v>746.0</v>
      </c>
      <c r="K128" s="13">
        <v>17.58</v>
      </c>
      <c r="L128" s="11">
        <v>77.0</v>
      </c>
      <c r="M128" s="11">
        <v>0.61</v>
      </c>
      <c r="N128" s="14">
        <v>1.65</v>
      </c>
      <c r="O128" s="13">
        <v>26.61</v>
      </c>
      <c r="P128" s="11">
        <v>2.0</v>
      </c>
      <c r="Q128" s="11">
        <v>0.06</v>
      </c>
      <c r="R128" s="21">
        <f t="shared" si="20"/>
        <v>79</v>
      </c>
      <c r="S128" s="15">
        <v>0.1059</v>
      </c>
      <c r="T128" s="11">
        <v>329.41</v>
      </c>
      <c r="U128" s="22">
        <f t="shared" si="21"/>
        <v>392.47</v>
      </c>
      <c r="V128" s="4"/>
      <c r="W128" s="4">
        <f t="shared" si="4"/>
        <v>386.76</v>
      </c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>
      <c r="A129" s="18"/>
      <c r="B129" s="18"/>
      <c r="C129" s="18"/>
      <c r="D129" s="18"/>
      <c r="E129" s="18"/>
      <c r="F129" s="11" t="s">
        <v>24</v>
      </c>
      <c r="G129" s="12">
        <f t="shared" si="39"/>
        <v>5.71</v>
      </c>
      <c r="H129" s="13">
        <v>62.0</v>
      </c>
      <c r="I129" s="13">
        <v>18.26</v>
      </c>
      <c r="J129" s="13">
        <v>746.0</v>
      </c>
      <c r="K129" s="13">
        <v>17.58</v>
      </c>
      <c r="L129" s="11">
        <v>74.0</v>
      </c>
      <c r="M129" s="11">
        <v>0.0</v>
      </c>
      <c r="N129" s="14">
        <v>0.0</v>
      </c>
      <c r="O129" s="13">
        <v>26.61</v>
      </c>
      <c r="P129" s="11">
        <v>0.0</v>
      </c>
      <c r="Q129" s="11">
        <v>0.0</v>
      </c>
      <c r="R129" s="21">
        <f t="shared" si="20"/>
        <v>74</v>
      </c>
      <c r="S129" s="15">
        <v>0.0992</v>
      </c>
      <c r="T129" s="11">
        <v>279.98</v>
      </c>
      <c r="U129" s="22">
        <f t="shared" si="21"/>
        <v>342.43</v>
      </c>
      <c r="V129" s="4"/>
      <c r="W129" s="4">
        <f t="shared" si="4"/>
        <v>336.72</v>
      </c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>
      <c r="A130" s="19"/>
      <c r="B130" s="19"/>
      <c r="C130" s="19"/>
      <c r="D130" s="19"/>
      <c r="E130" s="19"/>
      <c r="F130" s="11" t="s">
        <v>25</v>
      </c>
      <c r="G130" s="12">
        <f t="shared" si="39"/>
        <v>5.71</v>
      </c>
      <c r="H130" s="13">
        <v>62.0</v>
      </c>
      <c r="I130" s="13">
        <v>18.26</v>
      </c>
      <c r="J130" s="13">
        <v>746.0</v>
      </c>
      <c r="K130" s="13">
        <v>17.58</v>
      </c>
      <c r="L130" s="11">
        <v>51.0</v>
      </c>
      <c r="M130" s="11">
        <v>6.49</v>
      </c>
      <c r="N130" s="14">
        <v>1.03</v>
      </c>
      <c r="O130" s="13">
        <v>26.61</v>
      </c>
      <c r="P130" s="11">
        <v>8.0</v>
      </c>
      <c r="Q130" s="11">
        <v>0.26</v>
      </c>
      <c r="R130" s="11">
        <f t="shared" si="20"/>
        <v>59</v>
      </c>
      <c r="S130" s="15">
        <v>0.0791</v>
      </c>
      <c r="T130" s="11">
        <v>246.53</v>
      </c>
      <c r="U130" s="22">
        <f t="shared" si="21"/>
        <v>315.47</v>
      </c>
      <c r="V130" s="4"/>
      <c r="W130" s="4">
        <f t="shared" si="4"/>
        <v>309.76</v>
      </c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>
      <c r="A131" s="9">
        <v>412.0</v>
      </c>
      <c r="B131" s="9" t="s">
        <v>40</v>
      </c>
      <c r="C131" s="9" t="s">
        <v>30</v>
      </c>
      <c r="D131" s="9" t="s">
        <v>45</v>
      </c>
      <c r="E131" s="10">
        <v>746.0</v>
      </c>
      <c r="F131" s="11" t="s">
        <v>22</v>
      </c>
      <c r="G131" s="12">
        <f t="shared" ref="G131:G134" si="40">3.69+1.4</f>
        <v>5.09</v>
      </c>
      <c r="H131" s="13">
        <v>62.0</v>
      </c>
      <c r="I131" s="13">
        <v>5.44</v>
      </c>
      <c r="J131" s="13">
        <v>746.0</v>
      </c>
      <c r="K131" s="13">
        <v>16.48</v>
      </c>
      <c r="L131" s="11">
        <v>66.0</v>
      </c>
      <c r="M131" s="11">
        <v>0.27</v>
      </c>
      <c r="N131" s="14">
        <v>1.27</v>
      </c>
      <c r="O131" s="13">
        <v>22.85</v>
      </c>
      <c r="P131" s="11">
        <v>4.0</v>
      </c>
      <c r="Q131" s="11">
        <v>0.13</v>
      </c>
      <c r="R131" s="11">
        <f t="shared" si="20"/>
        <v>70</v>
      </c>
      <c r="S131" s="15">
        <v>0.0938</v>
      </c>
      <c r="T131" s="11">
        <v>292.54</v>
      </c>
      <c r="U131" s="22">
        <f t="shared" si="21"/>
        <v>337.58</v>
      </c>
      <c r="V131" s="4"/>
      <c r="W131" s="4">
        <f t="shared" si="4"/>
        <v>332.49</v>
      </c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>
      <c r="A132" s="18"/>
      <c r="B132" s="18"/>
      <c r="C132" s="18"/>
      <c r="D132" s="18"/>
      <c r="E132" s="18"/>
      <c r="F132" s="11" t="s">
        <v>23</v>
      </c>
      <c r="G132" s="12">
        <f t="shared" si="40"/>
        <v>5.09</v>
      </c>
      <c r="H132" s="13">
        <v>62.0</v>
      </c>
      <c r="I132" s="13">
        <v>5.44</v>
      </c>
      <c r="J132" s="13">
        <v>746.0</v>
      </c>
      <c r="K132" s="13">
        <v>16.48</v>
      </c>
      <c r="L132" s="11">
        <v>59.0</v>
      </c>
      <c r="M132" s="11">
        <v>0.62</v>
      </c>
      <c r="N132" s="14">
        <v>1.11</v>
      </c>
      <c r="O132" s="13">
        <v>22.85</v>
      </c>
      <c r="P132" s="11">
        <v>5.0</v>
      </c>
      <c r="Q132" s="11">
        <v>0.18</v>
      </c>
      <c r="R132" s="21">
        <f t="shared" si="20"/>
        <v>64</v>
      </c>
      <c r="S132" s="15">
        <v>0.0858</v>
      </c>
      <c r="T132" s="11">
        <v>266.83</v>
      </c>
      <c r="U132" s="22">
        <f t="shared" si="21"/>
        <v>312.22</v>
      </c>
      <c r="V132" s="4"/>
      <c r="W132" s="4">
        <f t="shared" si="4"/>
        <v>307.13</v>
      </c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>
      <c r="A133" s="18"/>
      <c r="B133" s="18"/>
      <c r="C133" s="18"/>
      <c r="D133" s="18"/>
      <c r="E133" s="18"/>
      <c r="F133" s="11" t="s">
        <v>24</v>
      </c>
      <c r="G133" s="12">
        <f t="shared" si="40"/>
        <v>5.09</v>
      </c>
      <c r="H133" s="13">
        <v>62.0</v>
      </c>
      <c r="I133" s="13">
        <v>5.44</v>
      </c>
      <c r="J133" s="13">
        <v>746.0</v>
      </c>
      <c r="K133" s="13">
        <v>16.48</v>
      </c>
      <c r="L133" s="11">
        <v>69.0</v>
      </c>
      <c r="M133" s="11">
        <v>0.0</v>
      </c>
      <c r="N133" s="14">
        <v>0.0</v>
      </c>
      <c r="O133" s="13">
        <v>22.85</v>
      </c>
      <c r="P133" s="11">
        <v>0.0</v>
      </c>
      <c r="Q133" s="11">
        <v>0.0</v>
      </c>
      <c r="R133" s="21">
        <f t="shared" si="20"/>
        <v>69</v>
      </c>
      <c r="S133" s="15">
        <v>0.0925</v>
      </c>
      <c r="T133" s="11">
        <v>260.89</v>
      </c>
      <c r="U133" s="22">
        <f t="shared" si="21"/>
        <v>305.66</v>
      </c>
      <c r="V133" s="4"/>
      <c r="W133" s="4">
        <f t="shared" si="4"/>
        <v>300.57</v>
      </c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>
      <c r="A134" s="19"/>
      <c r="B134" s="19"/>
      <c r="C134" s="19"/>
      <c r="D134" s="19"/>
      <c r="E134" s="19"/>
      <c r="F134" s="11" t="s">
        <v>25</v>
      </c>
      <c r="G134" s="12">
        <f t="shared" si="40"/>
        <v>5.09</v>
      </c>
      <c r="H134" s="13">
        <v>62.0</v>
      </c>
      <c r="I134" s="13">
        <v>5.44</v>
      </c>
      <c r="J134" s="13">
        <v>746.0</v>
      </c>
      <c r="K134" s="13">
        <v>16.48</v>
      </c>
      <c r="L134" s="11">
        <v>55.0</v>
      </c>
      <c r="M134" s="11">
        <v>5.85</v>
      </c>
      <c r="N134" s="14">
        <v>1.06</v>
      </c>
      <c r="O134" s="13">
        <v>22.85</v>
      </c>
      <c r="P134" s="11">
        <v>8.0</v>
      </c>
      <c r="Q134" s="11">
        <v>0.28</v>
      </c>
      <c r="R134" s="11">
        <f t="shared" si="20"/>
        <v>63</v>
      </c>
      <c r="S134" s="15">
        <v>0.0845</v>
      </c>
      <c r="T134" s="11">
        <v>263.94</v>
      </c>
      <c r="U134" s="22">
        <f t="shared" si="21"/>
        <v>314.56</v>
      </c>
      <c r="V134" s="4"/>
      <c r="W134" s="4">
        <f t="shared" si="4"/>
        <v>309.47</v>
      </c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>
      <c r="A135" s="9">
        <v>413.0</v>
      </c>
      <c r="B135" s="9" t="s">
        <v>40</v>
      </c>
      <c r="C135" s="9" t="s">
        <v>30</v>
      </c>
      <c r="D135" s="9" t="s">
        <v>45</v>
      </c>
      <c r="E135" s="10">
        <v>746.0</v>
      </c>
      <c r="F135" s="11" t="s">
        <v>22</v>
      </c>
      <c r="G135" s="12">
        <f t="shared" ref="G135:G138" si="41">3.52+1.32</f>
        <v>4.84</v>
      </c>
      <c r="H135" s="13">
        <v>62.0</v>
      </c>
      <c r="I135" s="13">
        <v>5.39</v>
      </c>
      <c r="J135" s="13">
        <v>746.0</v>
      </c>
      <c r="K135" s="13">
        <v>16.35</v>
      </c>
      <c r="L135" s="11">
        <v>46.0</v>
      </c>
      <c r="M135" s="11">
        <v>0.28</v>
      </c>
      <c r="N135" s="14">
        <v>0.86</v>
      </c>
      <c r="O135" s="13">
        <v>25.7</v>
      </c>
      <c r="P135" s="11">
        <v>12.0</v>
      </c>
      <c r="Q135" s="11">
        <v>0.41</v>
      </c>
      <c r="R135" s="11">
        <f t="shared" si="20"/>
        <v>58</v>
      </c>
      <c r="S135" s="15">
        <v>0.0777</v>
      </c>
      <c r="T135" s="11">
        <v>242.38</v>
      </c>
      <c r="U135" s="22">
        <f t="shared" si="21"/>
        <v>290.1</v>
      </c>
      <c r="V135" s="4"/>
      <c r="W135" s="4">
        <f t="shared" si="4"/>
        <v>285.26</v>
      </c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>
      <c r="A136" s="18"/>
      <c r="B136" s="18"/>
      <c r="C136" s="18"/>
      <c r="D136" s="18"/>
      <c r="E136" s="18"/>
      <c r="F136" s="11" t="s">
        <v>23</v>
      </c>
      <c r="G136" s="12">
        <f t="shared" si="41"/>
        <v>4.84</v>
      </c>
      <c r="H136" s="13">
        <v>62.0</v>
      </c>
      <c r="I136" s="13">
        <v>5.39</v>
      </c>
      <c r="J136" s="13">
        <v>746.0</v>
      </c>
      <c r="K136" s="13">
        <v>16.35</v>
      </c>
      <c r="L136" s="11">
        <v>46.0</v>
      </c>
      <c r="M136" s="11">
        <v>0.64</v>
      </c>
      <c r="N136" s="14">
        <v>0.88</v>
      </c>
      <c r="O136" s="13">
        <v>25.7</v>
      </c>
      <c r="P136" s="11">
        <v>12.0</v>
      </c>
      <c r="Q136" s="11">
        <v>0.4</v>
      </c>
      <c r="R136" s="21">
        <f t="shared" si="20"/>
        <v>58</v>
      </c>
      <c r="S136" s="15">
        <v>0.0777</v>
      </c>
      <c r="T136" s="11">
        <v>242.52</v>
      </c>
      <c r="U136" s="22">
        <f t="shared" si="21"/>
        <v>290.6</v>
      </c>
      <c r="V136" s="4"/>
      <c r="W136" s="4">
        <f t="shared" si="4"/>
        <v>285.76</v>
      </c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>
      <c r="A137" s="18"/>
      <c r="B137" s="18"/>
      <c r="C137" s="18"/>
      <c r="D137" s="18"/>
      <c r="E137" s="18"/>
      <c r="F137" s="11" t="s">
        <v>24</v>
      </c>
      <c r="G137" s="12">
        <f t="shared" si="41"/>
        <v>4.84</v>
      </c>
      <c r="H137" s="13">
        <v>62.0</v>
      </c>
      <c r="I137" s="13">
        <v>5.39</v>
      </c>
      <c r="J137" s="13">
        <v>746.0</v>
      </c>
      <c r="K137" s="13">
        <v>16.35</v>
      </c>
      <c r="L137" s="11">
        <v>73.0</v>
      </c>
      <c r="M137" s="11">
        <v>0.0</v>
      </c>
      <c r="N137" s="14">
        <v>0.0</v>
      </c>
      <c r="O137" s="13">
        <v>25.7</v>
      </c>
      <c r="P137" s="11">
        <v>0.0</v>
      </c>
      <c r="Q137" s="11">
        <v>0.0</v>
      </c>
      <c r="R137" s="21">
        <f t="shared" si="20"/>
        <v>73</v>
      </c>
      <c r="S137" s="15">
        <v>0.0979</v>
      </c>
      <c r="T137" s="11">
        <v>276.6</v>
      </c>
      <c r="U137" s="22">
        <f t="shared" si="21"/>
        <v>324.04</v>
      </c>
      <c r="V137" s="4"/>
      <c r="W137" s="4">
        <f t="shared" si="4"/>
        <v>319.2</v>
      </c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>
      <c r="A138" s="19"/>
      <c r="B138" s="19"/>
      <c r="C138" s="19"/>
      <c r="D138" s="19"/>
      <c r="E138" s="19"/>
      <c r="F138" s="11" t="s">
        <v>25</v>
      </c>
      <c r="G138" s="12">
        <f t="shared" si="41"/>
        <v>4.84</v>
      </c>
      <c r="H138" s="13">
        <v>62.0</v>
      </c>
      <c r="I138" s="13">
        <v>5.39</v>
      </c>
      <c r="J138" s="13">
        <v>746.0</v>
      </c>
      <c r="K138" s="13">
        <v>16.35</v>
      </c>
      <c r="L138" s="11">
        <v>28.0</v>
      </c>
      <c r="M138" s="11">
        <v>4.24</v>
      </c>
      <c r="N138" s="14">
        <v>0.49</v>
      </c>
      <c r="O138" s="13">
        <v>25.7</v>
      </c>
      <c r="P138" s="11">
        <v>14.0</v>
      </c>
      <c r="Q138" s="11">
        <v>0.48</v>
      </c>
      <c r="R138" s="11">
        <f t="shared" si="20"/>
        <v>42</v>
      </c>
      <c r="S138" s="15">
        <v>0.0563</v>
      </c>
      <c r="T138" s="11">
        <v>176.14</v>
      </c>
      <c r="U138" s="22">
        <f t="shared" si="21"/>
        <v>227.82</v>
      </c>
      <c r="V138" s="4"/>
      <c r="W138" s="4">
        <f t="shared" si="4"/>
        <v>222.98</v>
      </c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>
      <c r="A139" s="9">
        <v>421.0</v>
      </c>
      <c r="B139" s="9" t="s">
        <v>40</v>
      </c>
      <c r="C139" s="9" t="s">
        <v>30</v>
      </c>
      <c r="D139" s="9" t="s">
        <v>46</v>
      </c>
      <c r="E139" s="10">
        <v>402.8</v>
      </c>
      <c r="F139" s="11" t="s">
        <v>22</v>
      </c>
      <c r="G139" s="13">
        <f t="shared" ref="G139:G142" si="42">2.81+0.75</f>
        <v>3.56</v>
      </c>
      <c r="H139" s="13">
        <v>62.0</v>
      </c>
      <c r="I139" s="13">
        <v>5.28</v>
      </c>
      <c r="J139" s="13">
        <v>403.0</v>
      </c>
      <c r="K139" s="13">
        <v>8.67</v>
      </c>
      <c r="L139" s="11">
        <v>20.0</v>
      </c>
      <c r="M139" s="11">
        <v>0.15</v>
      </c>
      <c r="N139" s="14">
        <v>0.35</v>
      </c>
      <c r="O139" s="13">
        <v>16.18</v>
      </c>
      <c r="P139" s="11">
        <v>7.0</v>
      </c>
      <c r="Q139" s="11">
        <v>0.18</v>
      </c>
      <c r="R139" s="11">
        <f t="shared" si="20"/>
        <v>27</v>
      </c>
      <c r="S139" s="15">
        <v>0.067</v>
      </c>
      <c r="T139" s="11">
        <v>113.01</v>
      </c>
      <c r="U139" s="22">
        <f t="shared" si="21"/>
        <v>143.29</v>
      </c>
      <c r="V139" s="4"/>
      <c r="W139" s="4">
        <f t="shared" si="4"/>
        <v>139.73</v>
      </c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>
      <c r="A140" s="18"/>
      <c r="B140" s="18"/>
      <c r="C140" s="18"/>
      <c r="D140" s="18"/>
      <c r="E140" s="18"/>
      <c r="F140" s="11" t="s">
        <v>23</v>
      </c>
      <c r="G140" s="13">
        <f t="shared" si="42"/>
        <v>3.56</v>
      </c>
      <c r="H140" s="13">
        <v>62.0</v>
      </c>
      <c r="I140" s="13">
        <v>5.28</v>
      </c>
      <c r="J140" s="13">
        <v>403.0</v>
      </c>
      <c r="K140" s="13">
        <v>8.67</v>
      </c>
      <c r="L140" s="11">
        <v>20.0</v>
      </c>
      <c r="M140" s="11">
        <v>0.33</v>
      </c>
      <c r="N140" s="14">
        <v>0.34</v>
      </c>
      <c r="O140" s="13">
        <v>16.18</v>
      </c>
      <c r="P140" s="11">
        <v>7.0</v>
      </c>
      <c r="Q140" s="11">
        <v>0.18</v>
      </c>
      <c r="R140" s="21">
        <f t="shared" si="20"/>
        <v>27</v>
      </c>
      <c r="S140" s="15">
        <v>0.067</v>
      </c>
      <c r="T140" s="11">
        <v>112.83</v>
      </c>
      <c r="U140" s="22">
        <f t="shared" si="21"/>
        <v>143.29</v>
      </c>
      <c r="V140" s="4"/>
      <c r="W140" s="4">
        <f t="shared" si="4"/>
        <v>139.73</v>
      </c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>
      <c r="A141" s="18"/>
      <c r="B141" s="18"/>
      <c r="C141" s="18"/>
      <c r="D141" s="18"/>
      <c r="E141" s="18"/>
      <c r="F141" s="11" t="s">
        <v>24</v>
      </c>
      <c r="G141" s="13">
        <f t="shared" si="42"/>
        <v>3.56</v>
      </c>
      <c r="H141" s="13">
        <v>62.0</v>
      </c>
      <c r="I141" s="13">
        <v>5.28</v>
      </c>
      <c r="J141" s="13">
        <v>403.0</v>
      </c>
      <c r="K141" s="13">
        <v>8.67</v>
      </c>
      <c r="L141" s="11">
        <v>41.0</v>
      </c>
      <c r="M141" s="11">
        <v>0.0</v>
      </c>
      <c r="N141" s="14">
        <v>0.0</v>
      </c>
      <c r="O141" s="13">
        <v>16.18</v>
      </c>
      <c r="P141" s="11">
        <v>0.0</v>
      </c>
      <c r="Q141" s="11">
        <v>0.0</v>
      </c>
      <c r="R141" s="21">
        <f t="shared" si="20"/>
        <v>41</v>
      </c>
      <c r="S141" s="15">
        <v>0.1018</v>
      </c>
      <c r="T141" s="11">
        <v>154.92</v>
      </c>
      <c r="U141" s="22">
        <f t="shared" si="21"/>
        <v>185.05</v>
      </c>
      <c r="V141" s="4"/>
      <c r="W141" s="4">
        <f t="shared" si="4"/>
        <v>181.49</v>
      </c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>
      <c r="A142" s="19"/>
      <c r="B142" s="19"/>
      <c r="C142" s="19"/>
      <c r="D142" s="19"/>
      <c r="E142" s="19"/>
      <c r="F142" s="11" t="s">
        <v>25</v>
      </c>
      <c r="G142" s="13">
        <f t="shared" si="42"/>
        <v>3.56</v>
      </c>
      <c r="H142" s="13">
        <v>62.0</v>
      </c>
      <c r="I142" s="13">
        <v>5.28</v>
      </c>
      <c r="J142" s="13">
        <v>403.0</v>
      </c>
      <c r="K142" s="13">
        <v>8.67</v>
      </c>
      <c r="L142" s="11">
        <v>14.0</v>
      </c>
      <c r="M142" s="11">
        <v>1.27</v>
      </c>
      <c r="N142" s="14">
        <v>0.22</v>
      </c>
      <c r="O142" s="13">
        <v>16.18</v>
      </c>
      <c r="P142" s="11">
        <v>7.0</v>
      </c>
      <c r="Q142" s="11">
        <v>0.19</v>
      </c>
      <c r="R142" s="11">
        <f t="shared" si="20"/>
        <v>21</v>
      </c>
      <c r="S142" s="15">
        <v>0.0521</v>
      </c>
      <c r="T142" s="11">
        <v>88.33</v>
      </c>
      <c r="U142" s="22">
        <f t="shared" si="21"/>
        <v>119.73</v>
      </c>
      <c r="V142" s="4"/>
      <c r="W142" s="4">
        <f t="shared" si="4"/>
        <v>116.17</v>
      </c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>
      <c r="A143" s="9">
        <v>422.0</v>
      </c>
      <c r="B143" s="9" t="s">
        <v>40</v>
      </c>
      <c r="C143" s="9" t="s">
        <v>30</v>
      </c>
      <c r="D143" s="9" t="s">
        <v>46</v>
      </c>
      <c r="E143" s="10">
        <v>695.0</v>
      </c>
      <c r="F143" s="11" t="s">
        <v>22</v>
      </c>
      <c r="G143" s="12">
        <f t="shared" ref="G143:G146" si="43">4.17+1.24</f>
        <v>5.41</v>
      </c>
      <c r="H143" s="13">
        <v>62.0</v>
      </c>
      <c r="I143" s="13">
        <v>5.35</v>
      </c>
      <c r="J143" s="13">
        <v>696.0</v>
      </c>
      <c r="K143" s="13">
        <v>15.34</v>
      </c>
      <c r="L143" s="11">
        <v>15.0</v>
      </c>
      <c r="M143" s="11">
        <v>0.26</v>
      </c>
      <c r="N143" s="14">
        <v>0.34</v>
      </c>
      <c r="O143" s="13">
        <v>25.93</v>
      </c>
      <c r="P143" s="11">
        <v>15.0</v>
      </c>
      <c r="Q143" s="11">
        <v>0.59</v>
      </c>
      <c r="R143" s="11">
        <f t="shared" si="20"/>
        <v>30</v>
      </c>
      <c r="S143" s="15">
        <v>0.0432</v>
      </c>
      <c r="T143" s="11">
        <v>126.03</v>
      </c>
      <c r="U143" s="22">
        <f t="shared" si="21"/>
        <v>172.91</v>
      </c>
      <c r="V143" s="4"/>
      <c r="W143" s="4">
        <f t="shared" si="4"/>
        <v>167.5</v>
      </c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>
      <c r="A144" s="18"/>
      <c r="B144" s="18"/>
      <c r="C144" s="18"/>
      <c r="D144" s="18"/>
      <c r="E144" s="18"/>
      <c r="F144" s="11" t="s">
        <v>23</v>
      </c>
      <c r="G144" s="12">
        <f t="shared" si="43"/>
        <v>5.41</v>
      </c>
      <c r="H144" s="13">
        <v>62.0</v>
      </c>
      <c r="I144" s="13">
        <v>5.35</v>
      </c>
      <c r="J144" s="13">
        <v>696.0</v>
      </c>
      <c r="K144" s="13">
        <v>15.34</v>
      </c>
      <c r="L144" s="11">
        <v>15.0</v>
      </c>
      <c r="M144" s="11">
        <v>0.59</v>
      </c>
      <c r="N144" s="14">
        <v>0.34</v>
      </c>
      <c r="O144" s="13">
        <v>25.93</v>
      </c>
      <c r="P144" s="11">
        <v>15.0</v>
      </c>
      <c r="Q144" s="11">
        <v>0.61</v>
      </c>
      <c r="R144" s="21">
        <f t="shared" si="20"/>
        <v>30</v>
      </c>
      <c r="S144" s="15">
        <v>0.0432</v>
      </c>
      <c r="T144" s="11">
        <v>125.98</v>
      </c>
      <c r="U144" s="22">
        <f t="shared" si="21"/>
        <v>173.19</v>
      </c>
      <c r="V144" s="4"/>
      <c r="W144" s="4">
        <f t="shared" si="4"/>
        <v>167.78</v>
      </c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>
      <c r="A145" s="18"/>
      <c r="B145" s="18"/>
      <c r="C145" s="18"/>
      <c r="D145" s="18"/>
      <c r="E145" s="18"/>
      <c r="F145" s="11" t="s">
        <v>24</v>
      </c>
      <c r="G145" s="12">
        <f t="shared" si="43"/>
        <v>5.41</v>
      </c>
      <c r="H145" s="13">
        <v>62.0</v>
      </c>
      <c r="I145" s="13">
        <v>5.35</v>
      </c>
      <c r="J145" s="13">
        <v>696.0</v>
      </c>
      <c r="K145" s="13">
        <v>15.34</v>
      </c>
      <c r="L145" s="11">
        <v>69.0</v>
      </c>
      <c r="M145" s="11">
        <v>0.0</v>
      </c>
      <c r="N145" s="14">
        <v>0.0</v>
      </c>
      <c r="O145" s="13">
        <v>25.93</v>
      </c>
      <c r="P145" s="11">
        <v>0.0</v>
      </c>
      <c r="Q145" s="11">
        <v>0.0</v>
      </c>
      <c r="R145" s="21">
        <f t="shared" si="20"/>
        <v>69</v>
      </c>
      <c r="S145" s="15">
        <v>0.0993</v>
      </c>
      <c r="T145" s="11">
        <v>260.95</v>
      </c>
      <c r="U145" s="22">
        <f t="shared" si="21"/>
        <v>307.57</v>
      </c>
      <c r="V145" s="4"/>
      <c r="W145" s="4">
        <f t="shared" si="4"/>
        <v>302.16</v>
      </c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>
      <c r="A146" s="19"/>
      <c r="B146" s="19"/>
      <c r="C146" s="19"/>
      <c r="D146" s="19"/>
      <c r="E146" s="19"/>
      <c r="F146" s="11" t="s">
        <v>25</v>
      </c>
      <c r="G146" s="12">
        <f t="shared" si="43"/>
        <v>5.41</v>
      </c>
      <c r="H146" s="13">
        <v>62.0</v>
      </c>
      <c r="I146" s="13">
        <v>5.35</v>
      </c>
      <c r="J146" s="13">
        <v>696.0</v>
      </c>
      <c r="K146" s="13">
        <v>15.34</v>
      </c>
      <c r="L146" s="11">
        <v>11.0</v>
      </c>
      <c r="M146" s="11">
        <v>1.55</v>
      </c>
      <c r="N146" s="14">
        <v>0.21</v>
      </c>
      <c r="O146" s="13">
        <v>25.93</v>
      </c>
      <c r="P146" s="11">
        <v>17.0</v>
      </c>
      <c r="Q146" s="11">
        <v>0.71</v>
      </c>
      <c r="R146" s="11">
        <f t="shared" si="20"/>
        <v>28</v>
      </c>
      <c r="S146" s="15">
        <v>0.0403</v>
      </c>
      <c r="T146" s="11">
        <v>117.86</v>
      </c>
      <c r="U146" s="22">
        <f t="shared" si="21"/>
        <v>166.03</v>
      </c>
      <c r="V146" s="4"/>
      <c r="W146" s="4">
        <f t="shared" si="4"/>
        <v>160.62</v>
      </c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>
      <c r="A147" s="9">
        <v>423.0</v>
      </c>
      <c r="B147" s="9" t="s">
        <v>40</v>
      </c>
      <c r="C147" s="9" t="s">
        <v>30</v>
      </c>
      <c r="D147" s="9" t="s">
        <v>46</v>
      </c>
      <c r="E147" s="10">
        <v>302.2</v>
      </c>
      <c r="F147" s="11" t="s">
        <v>22</v>
      </c>
      <c r="G147" s="12">
        <f t="shared" ref="G147:G150" si="44">3.2+0.61</f>
        <v>3.81</v>
      </c>
      <c r="H147" s="13">
        <v>62.0</v>
      </c>
      <c r="I147" s="13">
        <v>5.36</v>
      </c>
      <c r="J147" s="13">
        <v>303.0</v>
      </c>
      <c r="K147" s="13">
        <v>6.78</v>
      </c>
      <c r="L147" s="11">
        <v>11.0</v>
      </c>
      <c r="M147" s="11">
        <v>0.12</v>
      </c>
      <c r="N147" s="14">
        <v>0.21</v>
      </c>
      <c r="O147" s="13">
        <v>12.21</v>
      </c>
      <c r="P147" s="11">
        <v>5.0</v>
      </c>
      <c r="Q147" s="11">
        <v>0.2</v>
      </c>
      <c r="R147" s="11">
        <f t="shared" si="20"/>
        <v>16</v>
      </c>
      <c r="S147" s="15">
        <v>0.0529</v>
      </c>
      <c r="T147" s="11">
        <v>67.42</v>
      </c>
      <c r="U147" s="22">
        <f t="shared" si="21"/>
        <v>91.89</v>
      </c>
      <c r="V147" s="4"/>
      <c r="W147" s="4">
        <f t="shared" si="4"/>
        <v>88.08</v>
      </c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>
      <c r="A148" s="18"/>
      <c r="B148" s="18"/>
      <c r="C148" s="18"/>
      <c r="D148" s="18"/>
      <c r="E148" s="18"/>
      <c r="F148" s="11" t="s">
        <v>23</v>
      </c>
      <c r="G148" s="12">
        <f t="shared" si="44"/>
        <v>3.81</v>
      </c>
      <c r="H148" s="13">
        <v>62.0</v>
      </c>
      <c r="I148" s="13">
        <v>5.36</v>
      </c>
      <c r="J148" s="13">
        <v>303.0</v>
      </c>
      <c r="K148" s="13">
        <v>6.78</v>
      </c>
      <c r="L148" s="11">
        <v>11.0</v>
      </c>
      <c r="M148" s="11">
        <v>0.27</v>
      </c>
      <c r="N148" s="14">
        <v>0.21</v>
      </c>
      <c r="O148" s="13">
        <v>12.21</v>
      </c>
      <c r="P148" s="11">
        <v>5.0</v>
      </c>
      <c r="Q148" s="11">
        <v>0.2</v>
      </c>
      <c r="R148" s="21">
        <f t="shared" si="20"/>
        <v>16</v>
      </c>
      <c r="S148" s="15">
        <v>0.0529</v>
      </c>
      <c r="T148" s="11">
        <v>67.44</v>
      </c>
      <c r="U148" s="22">
        <f t="shared" si="21"/>
        <v>92.06</v>
      </c>
      <c r="V148" s="4"/>
      <c r="W148" s="4">
        <f t="shared" si="4"/>
        <v>88.25</v>
      </c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>
      <c r="A149" s="18"/>
      <c r="B149" s="18"/>
      <c r="C149" s="18"/>
      <c r="D149" s="18"/>
      <c r="E149" s="18"/>
      <c r="F149" s="11" t="s">
        <v>24</v>
      </c>
      <c r="G149" s="12">
        <f t="shared" si="44"/>
        <v>3.81</v>
      </c>
      <c r="H149" s="13">
        <v>62.0</v>
      </c>
      <c r="I149" s="13">
        <v>5.36</v>
      </c>
      <c r="J149" s="13">
        <v>303.0</v>
      </c>
      <c r="K149" s="13">
        <v>6.78</v>
      </c>
      <c r="L149" s="11">
        <v>31.0</v>
      </c>
      <c r="M149" s="11">
        <v>0.0</v>
      </c>
      <c r="N149" s="14">
        <v>0.0</v>
      </c>
      <c r="O149" s="13">
        <v>12.21</v>
      </c>
      <c r="P149" s="11">
        <v>0.0</v>
      </c>
      <c r="Q149" s="11">
        <v>0.0</v>
      </c>
      <c r="R149" s="21">
        <f t="shared" si="20"/>
        <v>31</v>
      </c>
      <c r="S149" s="15">
        <v>0.1026</v>
      </c>
      <c r="T149" s="11">
        <v>117.81</v>
      </c>
      <c r="U149" s="22">
        <f t="shared" si="21"/>
        <v>142.16</v>
      </c>
      <c r="V149" s="4"/>
      <c r="W149" s="4">
        <f t="shared" si="4"/>
        <v>138.35</v>
      </c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>
      <c r="A150" s="19"/>
      <c r="B150" s="19"/>
      <c r="C150" s="19"/>
      <c r="D150" s="19"/>
      <c r="E150" s="19"/>
      <c r="F150" s="11" t="s">
        <v>25</v>
      </c>
      <c r="G150" s="12">
        <f t="shared" si="44"/>
        <v>3.81</v>
      </c>
      <c r="H150" s="13">
        <v>62.0</v>
      </c>
      <c r="I150" s="13">
        <v>5.36</v>
      </c>
      <c r="J150" s="13">
        <v>303.0</v>
      </c>
      <c r="K150" s="13">
        <v>6.78</v>
      </c>
      <c r="L150" s="11">
        <v>12.0</v>
      </c>
      <c r="M150" s="11">
        <v>0.91</v>
      </c>
      <c r="N150" s="14">
        <v>0.24</v>
      </c>
      <c r="O150" s="13">
        <v>12.21</v>
      </c>
      <c r="P150" s="11">
        <v>5.0</v>
      </c>
      <c r="Q150" s="11">
        <v>0.18</v>
      </c>
      <c r="R150" s="11">
        <f t="shared" si="20"/>
        <v>17</v>
      </c>
      <c r="S150" s="15">
        <v>0.0563</v>
      </c>
      <c r="T150" s="11">
        <v>71.47</v>
      </c>
      <c r="U150" s="22">
        <f t="shared" si="21"/>
        <v>96.73</v>
      </c>
      <c r="V150" s="4"/>
      <c r="W150" s="4">
        <f t="shared" si="4"/>
        <v>92.92</v>
      </c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>
      <c r="A151" s="9">
        <v>521.0</v>
      </c>
      <c r="B151" s="9" t="s">
        <v>40</v>
      </c>
      <c r="C151" s="9" t="s">
        <v>35</v>
      </c>
      <c r="D151" s="9" t="s">
        <v>47</v>
      </c>
      <c r="E151" s="10">
        <v>713.5</v>
      </c>
      <c r="F151" s="11" t="s">
        <v>22</v>
      </c>
      <c r="G151" s="12">
        <f t="shared" ref="G151:G154" si="45">4.73+1.64</f>
        <v>6.37</v>
      </c>
      <c r="H151" s="13">
        <v>62.0</v>
      </c>
      <c r="I151" s="13">
        <v>15.61</v>
      </c>
      <c r="J151" s="13">
        <v>714.0</v>
      </c>
      <c r="K151" s="13">
        <v>15.36</v>
      </c>
      <c r="L151" s="11">
        <v>24.0</v>
      </c>
      <c r="M151" s="11">
        <v>0.26</v>
      </c>
      <c r="N151" s="14">
        <v>0.66</v>
      </c>
      <c r="O151" s="13">
        <v>120.34</v>
      </c>
      <c r="P151" s="11">
        <v>19.0</v>
      </c>
      <c r="Q151" s="11">
        <v>0.82</v>
      </c>
      <c r="R151" s="11">
        <f t="shared" si="20"/>
        <v>43</v>
      </c>
      <c r="S151" s="15">
        <v>0.0603</v>
      </c>
      <c r="T151" s="11">
        <v>179.36</v>
      </c>
      <c r="U151" s="22">
        <f t="shared" si="21"/>
        <v>330.93</v>
      </c>
      <c r="V151" s="4"/>
      <c r="W151" s="4">
        <f t="shared" si="4"/>
        <v>324.56</v>
      </c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>
      <c r="A152" s="18"/>
      <c r="B152" s="18"/>
      <c r="C152" s="18"/>
      <c r="D152" s="18"/>
      <c r="E152" s="18"/>
      <c r="F152" s="11" t="s">
        <v>23</v>
      </c>
      <c r="G152" s="12">
        <f t="shared" si="45"/>
        <v>6.37</v>
      </c>
      <c r="H152" s="13">
        <v>62.0</v>
      </c>
      <c r="I152" s="13">
        <v>15.61</v>
      </c>
      <c r="J152" s="13">
        <v>714.0</v>
      </c>
      <c r="K152" s="13">
        <v>15.36</v>
      </c>
      <c r="L152" s="11">
        <v>24.0</v>
      </c>
      <c r="M152" s="11">
        <v>0.58</v>
      </c>
      <c r="N152" s="14">
        <v>0.64</v>
      </c>
      <c r="O152" s="13">
        <v>120.34</v>
      </c>
      <c r="P152" s="11">
        <v>19.0</v>
      </c>
      <c r="Q152" s="11">
        <v>0.82</v>
      </c>
      <c r="R152" s="21">
        <f t="shared" si="20"/>
        <v>43</v>
      </c>
      <c r="S152" s="15">
        <v>0.0603</v>
      </c>
      <c r="T152" s="11">
        <v>179.51</v>
      </c>
      <c r="U152" s="22">
        <f t="shared" si="21"/>
        <v>331.4</v>
      </c>
      <c r="V152" s="4"/>
      <c r="W152" s="4">
        <f t="shared" si="4"/>
        <v>325.03</v>
      </c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>
      <c r="A153" s="18"/>
      <c r="B153" s="18"/>
      <c r="C153" s="18"/>
      <c r="D153" s="18"/>
      <c r="E153" s="18"/>
      <c r="F153" s="11" t="s">
        <v>24</v>
      </c>
      <c r="G153" s="12">
        <f t="shared" si="45"/>
        <v>6.37</v>
      </c>
      <c r="H153" s="13">
        <v>62.0</v>
      </c>
      <c r="I153" s="13">
        <v>15.61</v>
      </c>
      <c r="J153" s="13">
        <v>714.0</v>
      </c>
      <c r="K153" s="13">
        <v>15.36</v>
      </c>
      <c r="L153" s="11">
        <v>68.0</v>
      </c>
      <c r="M153" s="11">
        <v>0.0</v>
      </c>
      <c r="N153" s="14">
        <v>0.0</v>
      </c>
      <c r="O153" s="13">
        <v>120.34</v>
      </c>
      <c r="P153" s="11">
        <v>0.0</v>
      </c>
      <c r="Q153" s="11">
        <v>0.0</v>
      </c>
      <c r="R153" s="21">
        <f t="shared" si="20"/>
        <v>68</v>
      </c>
      <c r="S153" s="15">
        <v>0.0953</v>
      </c>
      <c r="T153" s="11">
        <v>263.58</v>
      </c>
      <c r="U153" s="22">
        <f t="shared" si="21"/>
        <v>414.89</v>
      </c>
      <c r="V153" s="4"/>
      <c r="W153" s="4">
        <f t="shared" si="4"/>
        <v>408.52</v>
      </c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>
      <c r="A154" s="19"/>
      <c r="B154" s="19"/>
      <c r="C154" s="19"/>
      <c r="D154" s="19"/>
      <c r="E154" s="19"/>
      <c r="F154" s="11" t="s">
        <v>25</v>
      </c>
      <c r="G154" s="12">
        <f t="shared" si="45"/>
        <v>6.37</v>
      </c>
      <c r="H154" s="13">
        <v>62.0</v>
      </c>
      <c r="I154" s="13">
        <v>15.61</v>
      </c>
      <c r="J154" s="13">
        <v>714.0</v>
      </c>
      <c r="K154" s="13">
        <v>15.36</v>
      </c>
      <c r="L154" s="11">
        <v>21.0</v>
      </c>
      <c r="M154" s="11">
        <v>2.39</v>
      </c>
      <c r="N154" s="14">
        <v>0.56</v>
      </c>
      <c r="O154" s="13">
        <v>120.34</v>
      </c>
      <c r="P154" s="11">
        <v>16.0</v>
      </c>
      <c r="Q154" s="11">
        <v>0.69</v>
      </c>
      <c r="R154" s="11">
        <f t="shared" si="20"/>
        <v>37</v>
      </c>
      <c r="S154" s="15">
        <v>0.0519</v>
      </c>
      <c r="T154" s="11">
        <v>158.72</v>
      </c>
      <c r="U154" s="22">
        <f t="shared" si="21"/>
        <v>312.42</v>
      </c>
      <c r="V154" s="4"/>
      <c r="W154" s="4">
        <f t="shared" si="4"/>
        <v>306.05</v>
      </c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>
      <c r="A155" s="9">
        <v>522.0</v>
      </c>
      <c r="B155" s="9" t="s">
        <v>40</v>
      </c>
      <c r="C155" s="9" t="s">
        <v>35</v>
      </c>
      <c r="D155" s="9" t="s">
        <v>47</v>
      </c>
      <c r="E155" s="10">
        <v>488.6</v>
      </c>
      <c r="F155" s="11" t="s">
        <v>22</v>
      </c>
      <c r="G155" s="12">
        <f t="shared" ref="G155:G158" si="46">2.1+0.9</f>
        <v>3</v>
      </c>
      <c r="H155" s="13">
        <v>62.0</v>
      </c>
      <c r="I155" s="13">
        <v>5.13</v>
      </c>
      <c r="J155" s="13">
        <v>489.0</v>
      </c>
      <c r="K155" s="13">
        <v>10.21</v>
      </c>
      <c r="L155" s="11">
        <v>2.0</v>
      </c>
      <c r="M155" s="11">
        <v>0.19</v>
      </c>
      <c r="N155" s="14">
        <v>0.4</v>
      </c>
      <c r="O155" s="13">
        <v>13.85</v>
      </c>
      <c r="P155" s="11">
        <v>0.0</v>
      </c>
      <c r="Q155" s="11">
        <v>0.0</v>
      </c>
      <c r="R155" s="11">
        <f t="shared" si="20"/>
        <v>2</v>
      </c>
      <c r="S155" s="15">
        <v>0.0041</v>
      </c>
      <c r="T155" s="11">
        <v>8.48</v>
      </c>
      <c r="U155" s="22">
        <f t="shared" si="21"/>
        <v>37.86</v>
      </c>
      <c r="V155" s="4"/>
      <c r="W155" s="4">
        <f t="shared" si="4"/>
        <v>34.86</v>
      </c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>
      <c r="A156" s="18"/>
      <c r="B156" s="18"/>
      <c r="C156" s="18"/>
      <c r="D156" s="18"/>
      <c r="E156" s="18"/>
      <c r="F156" s="11" t="s">
        <v>23</v>
      </c>
      <c r="G156" s="12">
        <f t="shared" si="46"/>
        <v>3</v>
      </c>
      <c r="H156" s="13">
        <v>62.0</v>
      </c>
      <c r="I156" s="13">
        <v>5.13</v>
      </c>
      <c r="J156" s="13">
        <v>489.0</v>
      </c>
      <c r="K156" s="13">
        <v>10.21</v>
      </c>
      <c r="L156" s="11">
        <v>2.0</v>
      </c>
      <c r="M156" s="11">
        <v>0.41</v>
      </c>
      <c r="N156" s="14">
        <v>0.4</v>
      </c>
      <c r="O156" s="13">
        <v>13.85</v>
      </c>
      <c r="P156" s="11">
        <v>0.0</v>
      </c>
      <c r="Q156" s="11">
        <v>0.0</v>
      </c>
      <c r="R156" s="21">
        <f t="shared" si="20"/>
        <v>2</v>
      </c>
      <c r="S156" s="15">
        <v>0.0041</v>
      </c>
      <c r="T156" s="11">
        <v>8.45</v>
      </c>
      <c r="U156" s="22">
        <f t="shared" si="21"/>
        <v>38.05</v>
      </c>
      <c r="V156" s="4"/>
      <c r="W156" s="4">
        <f t="shared" si="4"/>
        <v>35.05</v>
      </c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>
      <c r="A157" s="18"/>
      <c r="B157" s="18"/>
      <c r="C157" s="18"/>
      <c r="D157" s="18"/>
      <c r="E157" s="18"/>
      <c r="F157" s="11" t="s">
        <v>24</v>
      </c>
      <c r="G157" s="12">
        <f t="shared" si="46"/>
        <v>3</v>
      </c>
      <c r="H157" s="13">
        <v>62.0</v>
      </c>
      <c r="I157" s="13">
        <v>5.13</v>
      </c>
      <c r="J157" s="13">
        <v>489.0</v>
      </c>
      <c r="K157" s="13">
        <v>10.21</v>
      </c>
      <c r="L157" s="11">
        <v>47.0</v>
      </c>
      <c r="M157" s="11">
        <v>0.0</v>
      </c>
      <c r="N157" s="14">
        <v>0.0</v>
      </c>
      <c r="O157" s="13">
        <v>13.85</v>
      </c>
      <c r="P157" s="11">
        <v>0.0</v>
      </c>
      <c r="Q157" s="11">
        <v>0.0</v>
      </c>
      <c r="R157" s="21">
        <f t="shared" si="20"/>
        <v>47</v>
      </c>
      <c r="S157" s="15">
        <v>0.0962</v>
      </c>
      <c r="T157" s="11">
        <v>183.0</v>
      </c>
      <c r="U157" s="22">
        <f t="shared" si="21"/>
        <v>212.19</v>
      </c>
      <c r="V157" s="4"/>
      <c r="W157" s="4">
        <f t="shared" si="4"/>
        <v>209.19</v>
      </c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>
      <c r="A158" s="19"/>
      <c r="B158" s="19"/>
      <c r="C158" s="19"/>
      <c r="D158" s="19"/>
      <c r="E158" s="19"/>
      <c r="F158" s="11" t="s">
        <v>25</v>
      </c>
      <c r="G158" s="12">
        <f t="shared" si="46"/>
        <v>3</v>
      </c>
      <c r="H158" s="13">
        <v>62.0</v>
      </c>
      <c r="I158" s="13">
        <v>5.13</v>
      </c>
      <c r="J158" s="13">
        <v>489.0</v>
      </c>
      <c r="K158" s="13">
        <v>10.21</v>
      </c>
      <c r="L158" s="11">
        <v>5.0</v>
      </c>
      <c r="M158" s="11">
        <v>0.61</v>
      </c>
      <c r="N158" s="14">
        <v>0.6</v>
      </c>
      <c r="O158" s="13">
        <v>13.85</v>
      </c>
      <c r="P158" s="11">
        <v>14.0</v>
      </c>
      <c r="Q158" s="11">
        <v>0.0</v>
      </c>
      <c r="R158" s="11">
        <f t="shared" si="20"/>
        <v>19</v>
      </c>
      <c r="S158" s="15">
        <v>0.0389</v>
      </c>
      <c r="T158" s="11">
        <v>81.5</v>
      </c>
      <c r="U158" s="22">
        <f t="shared" si="21"/>
        <v>111.3</v>
      </c>
      <c r="V158" s="4"/>
      <c r="W158" s="4">
        <f t="shared" si="4"/>
        <v>108.3</v>
      </c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>
      <c r="A159" s="9">
        <v>523.0</v>
      </c>
      <c r="B159" s="9" t="s">
        <v>40</v>
      </c>
      <c r="C159" s="9" t="s">
        <v>35</v>
      </c>
      <c r="D159" s="9" t="s">
        <v>47</v>
      </c>
      <c r="E159" s="10">
        <v>515.8</v>
      </c>
      <c r="F159" s="11" t="s">
        <v>22</v>
      </c>
      <c r="G159" s="12">
        <f t="shared" ref="G159:G162" si="47">2.36+0.88</f>
        <v>3.24</v>
      </c>
      <c r="H159" s="13">
        <v>62.0</v>
      </c>
      <c r="I159" s="13">
        <v>4.98</v>
      </c>
      <c r="J159" s="13">
        <v>516.0</v>
      </c>
      <c r="K159" s="13">
        <v>11.56</v>
      </c>
      <c r="L159" s="11">
        <v>5.0</v>
      </c>
      <c r="M159" s="11">
        <v>0.19</v>
      </c>
      <c r="N159" s="14">
        <v>0.15</v>
      </c>
      <c r="O159" s="13">
        <v>16.7</v>
      </c>
      <c r="P159" s="11">
        <v>19.0</v>
      </c>
      <c r="Q159" s="11">
        <v>0.57</v>
      </c>
      <c r="R159" s="11">
        <f t="shared" si="20"/>
        <v>24</v>
      </c>
      <c r="S159" s="15">
        <v>0.0368</v>
      </c>
      <c r="T159" s="11">
        <v>80.72</v>
      </c>
      <c r="U159" s="22">
        <f t="shared" si="21"/>
        <v>114.15</v>
      </c>
      <c r="V159" s="4"/>
      <c r="W159" s="4">
        <f t="shared" si="4"/>
        <v>110.91</v>
      </c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>
      <c r="A160" s="18"/>
      <c r="B160" s="18"/>
      <c r="C160" s="18"/>
      <c r="D160" s="18"/>
      <c r="E160" s="18"/>
      <c r="F160" s="11" t="s">
        <v>23</v>
      </c>
      <c r="G160" s="12">
        <f t="shared" si="47"/>
        <v>3.24</v>
      </c>
      <c r="H160" s="13">
        <v>62.0</v>
      </c>
      <c r="I160" s="13">
        <v>4.98</v>
      </c>
      <c r="J160" s="13">
        <v>516.0</v>
      </c>
      <c r="K160" s="13">
        <v>11.56</v>
      </c>
      <c r="L160" s="11">
        <v>5.0</v>
      </c>
      <c r="M160" s="11">
        <v>0.46</v>
      </c>
      <c r="N160" s="14">
        <v>0.15</v>
      </c>
      <c r="O160" s="13">
        <v>16.7</v>
      </c>
      <c r="P160" s="11">
        <v>14.0</v>
      </c>
      <c r="Q160" s="11">
        <v>0.55</v>
      </c>
      <c r="R160" s="21">
        <f t="shared" si="20"/>
        <v>19</v>
      </c>
      <c r="S160" s="15">
        <v>0.0368</v>
      </c>
      <c r="T160" s="11">
        <v>81.12</v>
      </c>
      <c r="U160" s="22">
        <f t="shared" si="21"/>
        <v>114.82</v>
      </c>
      <c r="V160" s="4"/>
      <c r="W160" s="4">
        <f t="shared" si="4"/>
        <v>111.58</v>
      </c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>
      <c r="A161" s="18"/>
      <c r="B161" s="18"/>
      <c r="C161" s="18"/>
      <c r="D161" s="18"/>
      <c r="E161" s="18"/>
      <c r="F161" s="11" t="s">
        <v>24</v>
      </c>
      <c r="G161" s="12">
        <f t="shared" si="47"/>
        <v>3.24</v>
      </c>
      <c r="H161" s="13">
        <v>62.0</v>
      </c>
      <c r="I161" s="13">
        <v>4.98</v>
      </c>
      <c r="J161" s="13">
        <v>516.0</v>
      </c>
      <c r="K161" s="13">
        <v>11.56</v>
      </c>
      <c r="L161" s="11">
        <v>48.0</v>
      </c>
      <c r="M161" s="11">
        <v>0.0</v>
      </c>
      <c r="N161" s="14">
        <v>0.0</v>
      </c>
      <c r="O161" s="13">
        <v>16.7</v>
      </c>
      <c r="P161" s="11">
        <v>0.0</v>
      </c>
      <c r="Q161" s="11">
        <v>0.0</v>
      </c>
      <c r="R161" s="21">
        <f t="shared" si="20"/>
        <v>48</v>
      </c>
      <c r="S161" s="15">
        <v>0.0931</v>
      </c>
      <c r="T161" s="11">
        <v>188.02</v>
      </c>
      <c r="U161" s="22">
        <f t="shared" si="21"/>
        <v>221.26</v>
      </c>
      <c r="V161" s="4"/>
      <c r="W161" s="4">
        <f t="shared" si="4"/>
        <v>218.02</v>
      </c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>
      <c r="A162" s="19"/>
      <c r="B162" s="19"/>
      <c r="C162" s="19"/>
      <c r="D162" s="19"/>
      <c r="E162" s="19"/>
      <c r="F162" s="11" t="s">
        <v>25</v>
      </c>
      <c r="G162" s="12">
        <f t="shared" si="47"/>
        <v>3.24</v>
      </c>
      <c r="H162" s="13">
        <v>62.0</v>
      </c>
      <c r="I162" s="13">
        <v>4.98</v>
      </c>
      <c r="J162" s="13">
        <v>516.0</v>
      </c>
      <c r="K162" s="13">
        <v>11.56</v>
      </c>
      <c r="L162" s="11">
        <v>4.0</v>
      </c>
      <c r="M162" s="11">
        <v>0.64</v>
      </c>
      <c r="N162" s="14">
        <v>0.06</v>
      </c>
      <c r="O162" s="13">
        <v>16.7</v>
      </c>
      <c r="P162" s="11">
        <v>12.0</v>
      </c>
      <c r="Q162" s="11">
        <v>0.5</v>
      </c>
      <c r="R162" s="11">
        <f t="shared" si="20"/>
        <v>16</v>
      </c>
      <c r="S162" s="15">
        <v>0.031</v>
      </c>
      <c r="T162" s="11">
        <v>67.85</v>
      </c>
      <c r="U162" s="22">
        <f t="shared" si="21"/>
        <v>101.73</v>
      </c>
      <c r="V162" s="4"/>
      <c r="W162" s="4">
        <f t="shared" si="4"/>
        <v>98.49</v>
      </c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>
      <c r="A163" s="9">
        <v>533.0</v>
      </c>
      <c r="B163" s="9" t="s">
        <v>40</v>
      </c>
      <c r="C163" s="9" t="s">
        <v>35</v>
      </c>
      <c r="D163" s="9" t="s">
        <v>37</v>
      </c>
      <c r="E163" s="10">
        <v>383.0</v>
      </c>
      <c r="F163" s="11" t="s">
        <v>22</v>
      </c>
      <c r="G163" s="13">
        <f t="shared" ref="G163:G166" si="48">2.88+0.78</f>
        <v>3.66</v>
      </c>
      <c r="H163" s="13">
        <v>62.0</v>
      </c>
      <c r="I163" s="13">
        <v>4.99</v>
      </c>
      <c r="J163" s="13">
        <v>396.0</v>
      </c>
      <c r="K163" s="13">
        <v>8.88</v>
      </c>
      <c r="L163" s="11">
        <v>24.0</v>
      </c>
      <c r="M163" s="11">
        <v>0.15</v>
      </c>
      <c r="N163" s="14">
        <v>0.41</v>
      </c>
      <c r="O163" s="13">
        <v>13.89</v>
      </c>
      <c r="P163" s="11">
        <v>6.0</v>
      </c>
      <c r="Q163" s="11">
        <v>0.19</v>
      </c>
      <c r="R163" s="11">
        <f t="shared" si="20"/>
        <v>30</v>
      </c>
      <c r="S163" s="15">
        <v>0.0783</v>
      </c>
      <c r="T163" s="11">
        <v>127.07</v>
      </c>
      <c r="U163" s="22">
        <f t="shared" si="21"/>
        <v>154.98</v>
      </c>
      <c r="V163" s="4"/>
      <c r="W163" s="4">
        <f t="shared" si="4"/>
        <v>151.32</v>
      </c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>
      <c r="A164" s="18"/>
      <c r="B164" s="18"/>
      <c r="C164" s="18"/>
      <c r="D164" s="18"/>
      <c r="E164" s="18"/>
      <c r="F164" s="11" t="s">
        <v>23</v>
      </c>
      <c r="G164" s="13">
        <f t="shared" si="48"/>
        <v>3.66</v>
      </c>
      <c r="H164" s="13">
        <v>62.0</v>
      </c>
      <c r="I164" s="13">
        <v>4.99</v>
      </c>
      <c r="J164" s="13">
        <v>396.0</v>
      </c>
      <c r="K164" s="13">
        <v>8.88</v>
      </c>
      <c r="L164" s="11">
        <v>24.0</v>
      </c>
      <c r="M164" s="11">
        <v>0.33</v>
      </c>
      <c r="N164" s="14">
        <v>0.44</v>
      </c>
      <c r="O164" s="13">
        <v>13.89</v>
      </c>
      <c r="P164" s="11">
        <v>6.0</v>
      </c>
      <c r="Q164" s="11">
        <v>0.19</v>
      </c>
      <c r="R164" s="21">
        <f t="shared" si="20"/>
        <v>30</v>
      </c>
      <c r="S164" s="15">
        <v>0.0783</v>
      </c>
      <c r="T164" s="11">
        <v>128.35</v>
      </c>
      <c r="U164" s="22">
        <f t="shared" si="21"/>
        <v>156.44</v>
      </c>
      <c r="V164" s="4"/>
      <c r="W164" s="4">
        <f t="shared" si="4"/>
        <v>152.78</v>
      </c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>
      <c r="A165" s="18"/>
      <c r="B165" s="18"/>
      <c r="C165" s="18"/>
      <c r="D165" s="18"/>
      <c r="E165" s="18"/>
      <c r="F165" s="11" t="s">
        <v>24</v>
      </c>
      <c r="G165" s="13">
        <f t="shared" si="48"/>
        <v>3.66</v>
      </c>
      <c r="H165" s="13">
        <v>62.0</v>
      </c>
      <c r="I165" s="13">
        <v>4.99</v>
      </c>
      <c r="J165" s="13">
        <v>396.0</v>
      </c>
      <c r="K165" s="13">
        <v>8.88</v>
      </c>
      <c r="L165" s="11">
        <v>38.0</v>
      </c>
      <c r="M165" s="11">
        <v>0.0</v>
      </c>
      <c r="N165" s="14">
        <v>0.0</v>
      </c>
      <c r="O165" s="13">
        <v>13.89</v>
      </c>
      <c r="P165" s="11">
        <v>0.0</v>
      </c>
      <c r="Q165" s="11">
        <v>0.0</v>
      </c>
      <c r="R165" s="21">
        <f t="shared" si="20"/>
        <v>38</v>
      </c>
      <c r="S165" s="15">
        <v>0.0992</v>
      </c>
      <c r="T165" s="11">
        <v>147.97</v>
      </c>
      <c r="U165" s="22">
        <f t="shared" si="21"/>
        <v>175.73</v>
      </c>
      <c r="V165" s="4"/>
      <c r="W165" s="4">
        <f t="shared" si="4"/>
        <v>172.07</v>
      </c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>
      <c r="A166" s="19"/>
      <c r="B166" s="19"/>
      <c r="C166" s="19"/>
      <c r="D166" s="19"/>
      <c r="E166" s="19"/>
      <c r="F166" s="11" t="s">
        <v>25</v>
      </c>
      <c r="G166" s="13">
        <f t="shared" si="48"/>
        <v>3.66</v>
      </c>
      <c r="H166" s="13">
        <v>62.0</v>
      </c>
      <c r="I166" s="13">
        <v>4.99</v>
      </c>
      <c r="J166" s="13">
        <v>396.0</v>
      </c>
      <c r="K166" s="13">
        <v>8.88</v>
      </c>
      <c r="L166" s="11">
        <v>14.0</v>
      </c>
      <c r="M166" s="11">
        <v>0.82</v>
      </c>
      <c r="N166" s="14">
        <v>0.26</v>
      </c>
      <c r="O166" s="13">
        <v>13.89</v>
      </c>
      <c r="P166" s="11">
        <v>9.0</v>
      </c>
      <c r="Q166" s="11">
        <v>0.34</v>
      </c>
      <c r="R166" s="11">
        <f t="shared" si="20"/>
        <v>23</v>
      </c>
      <c r="S166" s="15">
        <v>0.0601</v>
      </c>
      <c r="T166" s="11">
        <v>100.36</v>
      </c>
      <c r="U166" s="22">
        <f t="shared" si="21"/>
        <v>128.94</v>
      </c>
      <c r="V166" s="4"/>
      <c r="W166" s="4">
        <f t="shared" si="4"/>
        <v>125.28</v>
      </c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>
      <c r="A167" s="9">
        <v>534.0</v>
      </c>
      <c r="B167" s="9" t="s">
        <v>40</v>
      </c>
      <c r="C167" s="9" t="s">
        <v>35</v>
      </c>
      <c r="D167" s="9" t="s">
        <v>37</v>
      </c>
      <c r="E167" s="10">
        <v>459.6</v>
      </c>
      <c r="F167" s="11" t="s">
        <v>22</v>
      </c>
      <c r="G167" s="12">
        <f t="shared" ref="G167:G170" si="49">2.76+0.87</f>
        <v>3.63</v>
      </c>
      <c r="H167" s="13">
        <v>62.0</v>
      </c>
      <c r="I167" s="13">
        <v>5.34</v>
      </c>
      <c r="J167" s="13">
        <v>460.0</v>
      </c>
      <c r="K167" s="13">
        <v>9.96</v>
      </c>
      <c r="L167" s="11">
        <v>31.0</v>
      </c>
      <c r="M167" s="11">
        <v>0.17</v>
      </c>
      <c r="N167" s="14">
        <v>0.58</v>
      </c>
      <c r="O167" s="13">
        <v>21.07</v>
      </c>
      <c r="P167" s="11">
        <v>5.0</v>
      </c>
      <c r="Q167" s="11">
        <v>0.17</v>
      </c>
      <c r="R167" s="11">
        <f t="shared" si="20"/>
        <v>36</v>
      </c>
      <c r="S167" s="15">
        <v>0.0783</v>
      </c>
      <c r="T167" s="11">
        <v>157.01</v>
      </c>
      <c r="U167" s="22">
        <f t="shared" si="21"/>
        <v>193.55</v>
      </c>
      <c r="V167" s="4"/>
      <c r="W167" s="4">
        <f t="shared" si="4"/>
        <v>189.92</v>
      </c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>
      <c r="A168" s="18"/>
      <c r="B168" s="18"/>
      <c r="C168" s="18"/>
      <c r="D168" s="18"/>
      <c r="E168" s="18"/>
      <c r="F168" s="11" t="s">
        <v>23</v>
      </c>
      <c r="G168" s="12">
        <f t="shared" si="49"/>
        <v>3.63</v>
      </c>
      <c r="H168" s="13">
        <v>62.0</v>
      </c>
      <c r="I168" s="13">
        <v>5.34</v>
      </c>
      <c r="J168" s="13">
        <v>460.0</v>
      </c>
      <c r="K168" s="13">
        <v>9.96</v>
      </c>
      <c r="L168" s="11">
        <v>30.0</v>
      </c>
      <c r="M168" s="11">
        <v>0.38</v>
      </c>
      <c r="N168" s="14">
        <v>0.56</v>
      </c>
      <c r="O168" s="13">
        <v>21.07</v>
      </c>
      <c r="P168" s="11">
        <v>5.0</v>
      </c>
      <c r="Q168" s="11">
        <v>0.17</v>
      </c>
      <c r="R168" s="21">
        <f t="shared" si="20"/>
        <v>35</v>
      </c>
      <c r="S168" s="15">
        <v>0.0762</v>
      </c>
      <c r="T168" s="11">
        <v>152.49</v>
      </c>
      <c r="U168" s="22">
        <f t="shared" si="21"/>
        <v>189.24</v>
      </c>
      <c r="V168" s="4"/>
      <c r="W168" s="4">
        <f t="shared" si="4"/>
        <v>185.61</v>
      </c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18"/>
      <c r="B169" s="18"/>
      <c r="C169" s="18"/>
      <c r="D169" s="18"/>
      <c r="E169" s="18"/>
      <c r="F169" s="11" t="s">
        <v>24</v>
      </c>
      <c r="G169" s="12">
        <f t="shared" si="49"/>
        <v>3.63</v>
      </c>
      <c r="H169" s="13">
        <v>62.0</v>
      </c>
      <c r="I169" s="13">
        <v>5.34</v>
      </c>
      <c r="J169" s="13">
        <v>460.0</v>
      </c>
      <c r="K169" s="13">
        <v>9.96</v>
      </c>
      <c r="L169" s="11">
        <v>46.0</v>
      </c>
      <c r="M169" s="11">
        <v>0.0</v>
      </c>
      <c r="N169" s="14">
        <v>0.0</v>
      </c>
      <c r="O169" s="13">
        <v>21.07</v>
      </c>
      <c r="P169" s="11">
        <v>0.0</v>
      </c>
      <c r="Q169" s="11">
        <v>0.0</v>
      </c>
      <c r="R169" s="21">
        <f t="shared" si="20"/>
        <v>46</v>
      </c>
      <c r="S169" s="15">
        <v>0.1001</v>
      </c>
      <c r="T169" s="11">
        <v>182.13</v>
      </c>
      <c r="U169" s="22">
        <f t="shared" si="21"/>
        <v>218.5</v>
      </c>
      <c r="V169" s="4"/>
      <c r="W169" s="4">
        <f t="shared" si="4"/>
        <v>214.87</v>
      </c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19"/>
      <c r="B170" s="19"/>
      <c r="C170" s="19"/>
      <c r="D170" s="19"/>
      <c r="E170" s="19"/>
      <c r="F170" s="11" t="s">
        <v>25</v>
      </c>
      <c r="G170" s="12">
        <f t="shared" si="49"/>
        <v>3.63</v>
      </c>
      <c r="H170" s="13">
        <v>62.0</v>
      </c>
      <c r="I170" s="13">
        <v>5.34</v>
      </c>
      <c r="J170" s="13">
        <v>460.0</v>
      </c>
      <c r="K170" s="13">
        <v>9.96</v>
      </c>
      <c r="L170" s="11">
        <v>16.0</v>
      </c>
      <c r="M170" s="11">
        <v>0.97</v>
      </c>
      <c r="N170" s="14">
        <v>0.29</v>
      </c>
      <c r="O170" s="13">
        <v>21.07</v>
      </c>
      <c r="P170" s="11">
        <v>9.0</v>
      </c>
      <c r="Q170" s="11">
        <v>0.25</v>
      </c>
      <c r="R170" s="11">
        <f t="shared" si="20"/>
        <v>25</v>
      </c>
      <c r="S170" s="15">
        <v>0.0544</v>
      </c>
      <c r="T170" s="11">
        <v>110.12</v>
      </c>
      <c r="U170" s="22">
        <f t="shared" si="21"/>
        <v>147.46</v>
      </c>
      <c r="V170" s="4"/>
      <c r="W170" s="4">
        <f t="shared" si="4"/>
        <v>143.83</v>
      </c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9">
        <v>535.0</v>
      </c>
      <c r="B171" s="9" t="s">
        <v>40</v>
      </c>
      <c r="C171" s="9" t="s">
        <v>35</v>
      </c>
      <c r="D171" s="9" t="s">
        <v>37</v>
      </c>
      <c r="E171" s="10">
        <v>485.3</v>
      </c>
      <c r="F171" s="11" t="s">
        <v>22</v>
      </c>
      <c r="G171" s="12">
        <f t="shared" ref="G171:G174" si="50">3.2+0.92</f>
        <v>4.12</v>
      </c>
      <c r="H171" s="13">
        <v>62.0</v>
      </c>
      <c r="I171" s="13">
        <v>5.54</v>
      </c>
      <c r="J171" s="13">
        <v>502.0</v>
      </c>
      <c r="K171" s="13">
        <v>11.8</v>
      </c>
      <c r="L171" s="11">
        <v>73.0</v>
      </c>
      <c r="M171" s="11">
        <v>0.18</v>
      </c>
      <c r="N171" s="14">
        <v>1.6</v>
      </c>
      <c r="O171" s="13">
        <v>33.25</v>
      </c>
      <c r="P171" s="11">
        <v>0.0</v>
      </c>
      <c r="Q171" s="11">
        <v>0.0</v>
      </c>
      <c r="R171" s="11">
        <f t="shared" si="20"/>
        <v>73</v>
      </c>
      <c r="S171" s="15">
        <v>0.1504</v>
      </c>
      <c r="T171" s="11">
        <v>309.82</v>
      </c>
      <c r="U171" s="22">
        <f t="shared" si="21"/>
        <v>360.59</v>
      </c>
      <c r="V171" s="4"/>
      <c r="W171" s="4">
        <f t="shared" si="4"/>
        <v>356.47</v>
      </c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18"/>
      <c r="B172" s="18"/>
      <c r="C172" s="18"/>
      <c r="D172" s="18"/>
      <c r="E172" s="18"/>
      <c r="F172" s="11" t="s">
        <v>23</v>
      </c>
      <c r="G172" s="12">
        <f t="shared" si="50"/>
        <v>4.12</v>
      </c>
      <c r="H172" s="13">
        <v>62.0</v>
      </c>
      <c r="I172" s="13">
        <v>5.54</v>
      </c>
      <c r="J172" s="13">
        <v>502.0</v>
      </c>
      <c r="K172" s="13">
        <v>11.8</v>
      </c>
      <c r="L172" s="11">
        <v>63.0</v>
      </c>
      <c r="M172" s="11">
        <v>0.43</v>
      </c>
      <c r="N172" s="14">
        <v>1.5</v>
      </c>
      <c r="O172" s="13">
        <v>33.25</v>
      </c>
      <c r="P172" s="11">
        <v>2.0</v>
      </c>
      <c r="Q172" s="11">
        <v>0.06</v>
      </c>
      <c r="R172" s="21">
        <f t="shared" si="20"/>
        <v>65</v>
      </c>
      <c r="S172" s="15">
        <v>0.1339</v>
      </c>
      <c r="T172" s="11">
        <v>273.95</v>
      </c>
      <c r="U172" s="22">
        <f t="shared" si="21"/>
        <v>324.97</v>
      </c>
      <c r="V172" s="4"/>
      <c r="W172" s="4">
        <f t="shared" si="4"/>
        <v>320.85</v>
      </c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18"/>
      <c r="B173" s="18"/>
      <c r="C173" s="18"/>
      <c r="D173" s="18"/>
      <c r="E173" s="18"/>
      <c r="F173" s="11" t="s">
        <v>24</v>
      </c>
      <c r="G173" s="12">
        <f t="shared" si="50"/>
        <v>4.12</v>
      </c>
      <c r="H173" s="13">
        <v>62.0</v>
      </c>
      <c r="I173" s="13">
        <v>5.54</v>
      </c>
      <c r="J173" s="13">
        <v>502.0</v>
      </c>
      <c r="K173" s="13">
        <v>11.8</v>
      </c>
      <c r="L173" s="11">
        <v>49.0</v>
      </c>
      <c r="M173" s="11">
        <v>0.0</v>
      </c>
      <c r="N173" s="14">
        <v>0.0</v>
      </c>
      <c r="O173" s="13">
        <v>33.25</v>
      </c>
      <c r="P173" s="11">
        <v>0.0</v>
      </c>
      <c r="Q173" s="11">
        <v>0.0</v>
      </c>
      <c r="R173" s="21">
        <f t="shared" si="20"/>
        <v>49</v>
      </c>
      <c r="S173" s="15">
        <v>0.101</v>
      </c>
      <c r="T173" s="11">
        <v>188.82</v>
      </c>
      <c r="U173" s="22">
        <f t="shared" si="21"/>
        <v>239.41</v>
      </c>
      <c r="V173" s="4"/>
      <c r="W173" s="4">
        <f t="shared" si="4"/>
        <v>235.29</v>
      </c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19"/>
      <c r="B174" s="19"/>
      <c r="C174" s="19"/>
      <c r="D174" s="19"/>
      <c r="E174" s="19"/>
      <c r="F174" s="11" t="s">
        <v>25</v>
      </c>
      <c r="G174" s="12">
        <f t="shared" si="50"/>
        <v>4.12</v>
      </c>
      <c r="H174" s="13">
        <v>62.0</v>
      </c>
      <c r="I174" s="13">
        <v>5.54</v>
      </c>
      <c r="J174" s="13">
        <v>502.0</v>
      </c>
      <c r="K174" s="13">
        <v>11.8</v>
      </c>
      <c r="L174" s="11">
        <v>46.0</v>
      </c>
      <c r="M174" s="11">
        <v>2.98</v>
      </c>
      <c r="N174" s="14">
        <v>1.0</v>
      </c>
      <c r="O174" s="13">
        <v>33.25</v>
      </c>
      <c r="P174" s="11">
        <v>4.0</v>
      </c>
      <c r="Q174" s="11">
        <v>0.14</v>
      </c>
      <c r="R174" s="11">
        <f t="shared" si="20"/>
        <v>50</v>
      </c>
      <c r="S174" s="15">
        <v>0.103</v>
      </c>
      <c r="T174" s="11">
        <v>211.96</v>
      </c>
      <c r="U174" s="22">
        <f t="shared" si="21"/>
        <v>265.53</v>
      </c>
      <c r="V174" s="4"/>
      <c r="W174" s="4">
        <f t="shared" si="4"/>
        <v>261.41</v>
      </c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9">
        <v>551.0</v>
      </c>
      <c r="B175" s="9" t="s">
        <v>40</v>
      </c>
      <c r="C175" s="9" t="s">
        <v>35</v>
      </c>
      <c r="D175" s="9" t="s">
        <v>38</v>
      </c>
      <c r="E175" s="10">
        <v>767.2</v>
      </c>
      <c r="F175" s="11" t="s">
        <v>22</v>
      </c>
      <c r="G175" s="12">
        <f t="shared" ref="G175:G178" si="51">4.67+1.81</f>
        <v>6.48</v>
      </c>
      <c r="H175" s="13">
        <v>62.0</v>
      </c>
      <c r="I175" s="13">
        <v>14.44</v>
      </c>
      <c r="J175" s="13">
        <v>768.0</v>
      </c>
      <c r="K175" s="13">
        <v>18.17</v>
      </c>
      <c r="L175" s="11">
        <v>56.0</v>
      </c>
      <c r="M175" s="11">
        <v>0.28</v>
      </c>
      <c r="N175" s="14">
        <v>1.0</v>
      </c>
      <c r="O175" s="13">
        <v>38.88</v>
      </c>
      <c r="P175" s="11">
        <v>6.0</v>
      </c>
      <c r="Q175" s="11">
        <v>0.2</v>
      </c>
      <c r="R175" s="11">
        <f t="shared" si="20"/>
        <v>62</v>
      </c>
      <c r="S175" s="15">
        <v>0.0808</v>
      </c>
      <c r="T175" s="11">
        <v>264.8</v>
      </c>
      <c r="U175" s="22">
        <f t="shared" si="21"/>
        <v>336.57</v>
      </c>
      <c r="V175" s="4"/>
      <c r="W175" s="4">
        <f t="shared" si="4"/>
        <v>330.09</v>
      </c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18"/>
      <c r="B176" s="18"/>
      <c r="C176" s="18"/>
      <c r="D176" s="18"/>
      <c r="E176" s="18"/>
      <c r="F176" s="11" t="s">
        <v>23</v>
      </c>
      <c r="G176" s="12">
        <f t="shared" si="51"/>
        <v>6.48</v>
      </c>
      <c r="H176" s="13">
        <v>62.0</v>
      </c>
      <c r="I176" s="13">
        <v>14.44</v>
      </c>
      <c r="J176" s="13">
        <v>768.0</v>
      </c>
      <c r="K176" s="13">
        <v>18.17</v>
      </c>
      <c r="L176" s="11">
        <v>56.0</v>
      </c>
      <c r="M176" s="11">
        <v>0.63</v>
      </c>
      <c r="N176" s="14">
        <v>0.98</v>
      </c>
      <c r="O176" s="13">
        <v>38.88</v>
      </c>
      <c r="P176" s="11">
        <v>6.0</v>
      </c>
      <c r="Q176" s="11">
        <v>0.2</v>
      </c>
      <c r="R176" s="21">
        <f t="shared" si="20"/>
        <v>62</v>
      </c>
      <c r="S176" s="15">
        <v>0.0808</v>
      </c>
      <c r="T176" s="11">
        <v>264.63</v>
      </c>
      <c r="U176" s="22">
        <f t="shared" si="21"/>
        <v>336.75</v>
      </c>
      <c r="V176" s="4"/>
      <c r="W176" s="4">
        <f t="shared" si="4"/>
        <v>330.27</v>
      </c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18"/>
      <c r="B177" s="18"/>
      <c r="C177" s="18"/>
      <c r="D177" s="18"/>
      <c r="E177" s="18"/>
      <c r="F177" s="11" t="s">
        <v>24</v>
      </c>
      <c r="G177" s="12">
        <f t="shared" si="51"/>
        <v>6.48</v>
      </c>
      <c r="H177" s="13">
        <v>62.0</v>
      </c>
      <c r="I177" s="13">
        <v>14.44</v>
      </c>
      <c r="J177" s="13">
        <v>768.0</v>
      </c>
      <c r="K177" s="13">
        <v>18.17</v>
      </c>
      <c r="L177" s="11">
        <v>41.0</v>
      </c>
      <c r="M177" s="11">
        <v>0.0</v>
      </c>
      <c r="N177" s="14">
        <v>0.0</v>
      </c>
      <c r="O177" s="13">
        <v>38.88</v>
      </c>
      <c r="P177" s="11">
        <v>0.0</v>
      </c>
      <c r="Q177" s="11">
        <v>0.0</v>
      </c>
      <c r="R177" s="21">
        <f t="shared" si="20"/>
        <v>41</v>
      </c>
      <c r="S177" s="15">
        <v>0.0534</v>
      </c>
      <c r="T177" s="11">
        <v>157.75</v>
      </c>
      <c r="U177" s="22">
        <f t="shared" si="21"/>
        <v>229.24</v>
      </c>
      <c r="V177" s="4"/>
      <c r="W177" s="4">
        <f t="shared" si="4"/>
        <v>222.76</v>
      </c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19"/>
      <c r="B178" s="19"/>
      <c r="C178" s="19"/>
      <c r="D178" s="19"/>
      <c r="E178" s="19"/>
      <c r="F178" s="11" t="s">
        <v>25</v>
      </c>
      <c r="G178" s="12">
        <f t="shared" si="51"/>
        <v>6.48</v>
      </c>
      <c r="H178" s="13">
        <v>62.0</v>
      </c>
      <c r="I178" s="13">
        <v>14.44</v>
      </c>
      <c r="J178" s="13">
        <v>768.0</v>
      </c>
      <c r="K178" s="13">
        <v>18.17</v>
      </c>
      <c r="L178" s="11">
        <v>42.0</v>
      </c>
      <c r="M178" s="11">
        <v>5.29</v>
      </c>
      <c r="N178" s="14">
        <v>0.88</v>
      </c>
      <c r="O178" s="13">
        <v>38.88</v>
      </c>
      <c r="P178" s="11">
        <v>9.0</v>
      </c>
      <c r="Q178" s="11">
        <v>0.25</v>
      </c>
      <c r="R178" s="11">
        <f t="shared" si="20"/>
        <v>51</v>
      </c>
      <c r="S178" s="15">
        <v>0.0665</v>
      </c>
      <c r="T178" s="11">
        <v>216.45</v>
      </c>
      <c r="U178" s="22">
        <f t="shared" si="21"/>
        <v>293.23</v>
      </c>
      <c r="V178" s="4"/>
      <c r="W178" s="4">
        <f t="shared" si="4"/>
        <v>286.75</v>
      </c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9">
        <v>552.0</v>
      </c>
      <c r="B179" s="9" t="s">
        <v>40</v>
      </c>
      <c r="C179" s="9" t="s">
        <v>35</v>
      </c>
      <c r="D179" s="9" t="s">
        <v>38</v>
      </c>
      <c r="E179" s="10">
        <v>614.6</v>
      </c>
      <c r="F179" s="11" t="s">
        <v>22</v>
      </c>
      <c r="G179" s="12">
        <f t="shared" ref="G179:G182" si="52">2.26+1.1</f>
        <v>3.36</v>
      </c>
      <c r="H179" s="13">
        <v>62.0</v>
      </c>
      <c r="I179" s="13">
        <v>5.5</v>
      </c>
      <c r="J179" s="13">
        <v>636.0</v>
      </c>
      <c r="K179" s="13">
        <v>14.91</v>
      </c>
      <c r="L179" s="11">
        <v>40.0</v>
      </c>
      <c r="M179" s="11">
        <v>0.24</v>
      </c>
      <c r="N179" s="14">
        <v>0.78</v>
      </c>
      <c r="O179" s="13">
        <v>47.07</v>
      </c>
      <c r="P179" s="11">
        <v>6.0</v>
      </c>
      <c r="Q179" s="11">
        <v>0.16</v>
      </c>
      <c r="R179" s="11">
        <f t="shared" si="20"/>
        <v>46</v>
      </c>
      <c r="S179" s="15">
        <v>0.0748</v>
      </c>
      <c r="T179" s="11">
        <v>195.64</v>
      </c>
      <c r="U179" s="22">
        <f t="shared" si="21"/>
        <v>263.36</v>
      </c>
      <c r="V179" s="4"/>
      <c r="W179" s="4">
        <f t="shared" si="4"/>
        <v>260</v>
      </c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18"/>
      <c r="B180" s="18"/>
      <c r="C180" s="18"/>
      <c r="D180" s="18"/>
      <c r="E180" s="18"/>
      <c r="F180" s="11" t="s">
        <v>23</v>
      </c>
      <c r="G180" s="12">
        <f t="shared" si="52"/>
        <v>3.36</v>
      </c>
      <c r="H180" s="13">
        <v>62.0</v>
      </c>
      <c r="I180" s="13">
        <v>5.5</v>
      </c>
      <c r="J180" s="13">
        <v>636.0</v>
      </c>
      <c r="K180" s="13">
        <v>14.91</v>
      </c>
      <c r="L180" s="11">
        <v>36.0</v>
      </c>
      <c r="M180" s="11">
        <v>0.54</v>
      </c>
      <c r="N180" s="14">
        <v>0.71</v>
      </c>
      <c r="O180" s="13">
        <v>47.07</v>
      </c>
      <c r="P180" s="11">
        <v>8.0</v>
      </c>
      <c r="Q180" s="11">
        <v>0.23</v>
      </c>
      <c r="R180" s="21">
        <f t="shared" si="20"/>
        <v>44</v>
      </c>
      <c r="S180" s="15">
        <v>0.0716</v>
      </c>
      <c r="T180" s="11">
        <v>186.7</v>
      </c>
      <c r="U180" s="22">
        <f t="shared" si="21"/>
        <v>254.72</v>
      </c>
      <c r="V180" s="4"/>
      <c r="W180" s="4">
        <f t="shared" si="4"/>
        <v>251.36</v>
      </c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18"/>
      <c r="B181" s="18"/>
      <c r="C181" s="18"/>
      <c r="D181" s="18"/>
      <c r="E181" s="18"/>
      <c r="F181" s="11" t="s">
        <v>24</v>
      </c>
      <c r="G181" s="12">
        <f t="shared" si="52"/>
        <v>3.36</v>
      </c>
      <c r="H181" s="13">
        <v>62.0</v>
      </c>
      <c r="I181" s="13">
        <v>5.5</v>
      </c>
      <c r="J181" s="13">
        <v>636.0</v>
      </c>
      <c r="K181" s="13">
        <v>14.91</v>
      </c>
      <c r="L181" s="11">
        <v>48.0</v>
      </c>
      <c r="M181" s="11">
        <v>0.0</v>
      </c>
      <c r="N181" s="14">
        <v>0.0</v>
      </c>
      <c r="O181" s="13">
        <v>47.07</v>
      </c>
      <c r="P181" s="11">
        <v>0.0</v>
      </c>
      <c r="Q181" s="11">
        <v>0.0</v>
      </c>
      <c r="R181" s="21">
        <f t="shared" si="20"/>
        <v>48</v>
      </c>
      <c r="S181" s="15">
        <v>0.0781</v>
      </c>
      <c r="T181" s="11">
        <v>185.2</v>
      </c>
      <c r="U181" s="22">
        <f t="shared" si="21"/>
        <v>252.68</v>
      </c>
      <c r="V181" s="4"/>
      <c r="W181" s="4">
        <f t="shared" si="4"/>
        <v>249.32</v>
      </c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19"/>
      <c r="B182" s="19"/>
      <c r="C182" s="19"/>
      <c r="D182" s="19"/>
      <c r="E182" s="19"/>
      <c r="F182" s="11" t="s">
        <v>25</v>
      </c>
      <c r="G182" s="12">
        <f t="shared" si="52"/>
        <v>3.36</v>
      </c>
      <c r="H182" s="13">
        <v>62.0</v>
      </c>
      <c r="I182" s="13">
        <v>5.5</v>
      </c>
      <c r="J182" s="13">
        <v>636.0</v>
      </c>
      <c r="K182" s="13">
        <v>14.91</v>
      </c>
      <c r="L182" s="11">
        <v>29.0</v>
      </c>
      <c r="M182" s="11">
        <v>3.32</v>
      </c>
      <c r="N182" s="14">
        <v>0.52</v>
      </c>
      <c r="O182" s="13">
        <v>47.07</v>
      </c>
      <c r="P182" s="11">
        <v>10.0</v>
      </c>
      <c r="Q182" s="11">
        <v>0.31</v>
      </c>
      <c r="R182" s="11">
        <f t="shared" si="20"/>
        <v>39</v>
      </c>
      <c r="S182" s="15">
        <v>0.0635</v>
      </c>
      <c r="T182" s="11">
        <v>166.5</v>
      </c>
      <c r="U182" s="22">
        <f t="shared" si="21"/>
        <v>237.3</v>
      </c>
      <c r="V182" s="4"/>
      <c r="W182" s="4">
        <f t="shared" si="4"/>
        <v>233.94</v>
      </c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9">
        <v>553.0</v>
      </c>
      <c r="B183" s="9" t="s">
        <v>40</v>
      </c>
      <c r="C183" s="9" t="s">
        <v>35</v>
      </c>
      <c r="D183" s="9" t="s">
        <v>38</v>
      </c>
      <c r="E183" s="10">
        <v>547.1</v>
      </c>
      <c r="F183" s="11" t="s">
        <v>22</v>
      </c>
      <c r="G183" s="12">
        <f t="shared" ref="G183:G186" si="53">4.42+0.97</f>
        <v>5.39</v>
      </c>
      <c r="H183" s="13">
        <v>62.0</v>
      </c>
      <c r="I183" s="13">
        <v>5.61</v>
      </c>
      <c r="J183" s="13">
        <v>548.0</v>
      </c>
      <c r="K183" s="13">
        <v>13.45</v>
      </c>
      <c r="L183" s="11">
        <v>33.0</v>
      </c>
      <c r="M183" s="11">
        <v>0.2</v>
      </c>
      <c r="N183" s="14">
        <v>0.68</v>
      </c>
      <c r="O183" s="13">
        <v>29.52</v>
      </c>
      <c r="P183" s="11">
        <v>6.0</v>
      </c>
      <c r="Q183" s="11">
        <v>0.25</v>
      </c>
      <c r="R183" s="11">
        <f t="shared" si="20"/>
        <v>39</v>
      </c>
      <c r="S183" s="15">
        <v>0.0713</v>
      </c>
      <c r="T183" s="11">
        <v>166.33</v>
      </c>
      <c r="U183" s="22">
        <f t="shared" si="21"/>
        <v>215.11</v>
      </c>
      <c r="V183" s="4"/>
      <c r="W183" s="4">
        <f t="shared" si="4"/>
        <v>209.72</v>
      </c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18"/>
      <c r="B184" s="18"/>
      <c r="C184" s="18"/>
      <c r="D184" s="18"/>
      <c r="E184" s="18"/>
      <c r="F184" s="11" t="s">
        <v>23</v>
      </c>
      <c r="G184" s="12">
        <f t="shared" si="53"/>
        <v>5.39</v>
      </c>
      <c r="H184" s="13">
        <v>62.0</v>
      </c>
      <c r="I184" s="13">
        <v>5.61</v>
      </c>
      <c r="J184" s="13">
        <v>548.0</v>
      </c>
      <c r="K184" s="13">
        <v>13.45</v>
      </c>
      <c r="L184" s="11">
        <v>32.0</v>
      </c>
      <c r="M184" s="11">
        <v>0.48</v>
      </c>
      <c r="N184" s="14">
        <v>0.69</v>
      </c>
      <c r="O184" s="13">
        <v>29.52</v>
      </c>
      <c r="P184" s="11">
        <v>6.0</v>
      </c>
      <c r="Q184" s="11">
        <v>0.23</v>
      </c>
      <c r="R184" s="21">
        <f t="shared" si="20"/>
        <v>38</v>
      </c>
      <c r="S184" s="15">
        <v>0.0695</v>
      </c>
      <c r="T184" s="11">
        <v>161.94</v>
      </c>
      <c r="U184" s="22">
        <f t="shared" si="21"/>
        <v>211</v>
      </c>
      <c r="V184" s="4"/>
      <c r="W184" s="4">
        <f t="shared" si="4"/>
        <v>205.61</v>
      </c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18"/>
      <c r="B185" s="18"/>
      <c r="C185" s="18"/>
      <c r="D185" s="18"/>
      <c r="E185" s="18"/>
      <c r="F185" s="11" t="s">
        <v>24</v>
      </c>
      <c r="G185" s="12">
        <f t="shared" si="53"/>
        <v>5.39</v>
      </c>
      <c r="H185" s="13">
        <v>62.0</v>
      </c>
      <c r="I185" s="13">
        <v>5.61</v>
      </c>
      <c r="J185" s="13">
        <v>548.0</v>
      </c>
      <c r="K185" s="13">
        <v>13.45</v>
      </c>
      <c r="L185" s="11">
        <v>46.0</v>
      </c>
      <c r="M185" s="11">
        <v>0.0</v>
      </c>
      <c r="N185" s="14">
        <v>0.0</v>
      </c>
      <c r="O185" s="13">
        <v>29.52</v>
      </c>
      <c r="P185" s="11">
        <v>0.0</v>
      </c>
      <c r="Q185" s="11">
        <v>0.0</v>
      </c>
      <c r="R185" s="21">
        <f t="shared" si="20"/>
        <v>46</v>
      </c>
      <c r="S185" s="15">
        <v>0.0841</v>
      </c>
      <c r="T185" s="11">
        <v>178.27</v>
      </c>
      <c r="U185" s="22">
        <f t="shared" si="21"/>
        <v>226.85</v>
      </c>
      <c r="V185" s="4"/>
      <c r="W185" s="4">
        <f t="shared" si="4"/>
        <v>221.46</v>
      </c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19"/>
      <c r="B186" s="19"/>
      <c r="C186" s="19"/>
      <c r="D186" s="19"/>
      <c r="E186" s="19"/>
      <c r="F186" s="11" t="s">
        <v>25</v>
      </c>
      <c r="G186" s="12">
        <f t="shared" si="53"/>
        <v>5.39</v>
      </c>
      <c r="H186" s="13">
        <v>62.0</v>
      </c>
      <c r="I186" s="13">
        <v>5.61</v>
      </c>
      <c r="J186" s="13">
        <v>548.0</v>
      </c>
      <c r="K186" s="13">
        <v>13.45</v>
      </c>
      <c r="L186" s="11">
        <v>28.0</v>
      </c>
      <c r="M186" s="11">
        <v>1.98</v>
      </c>
      <c r="N186" s="14">
        <v>0.52</v>
      </c>
      <c r="O186" s="13">
        <v>29.52</v>
      </c>
      <c r="P186" s="11">
        <v>10.0</v>
      </c>
      <c r="Q186" s="11">
        <v>0.32</v>
      </c>
      <c r="R186" s="11">
        <f t="shared" si="20"/>
        <v>38</v>
      </c>
      <c r="S186" s="15">
        <v>0.0695</v>
      </c>
      <c r="T186" s="11">
        <v>161.74</v>
      </c>
      <c r="U186" s="22">
        <f t="shared" si="21"/>
        <v>212.3</v>
      </c>
      <c r="V186" s="4"/>
      <c r="W186" s="4">
        <f t="shared" si="4"/>
        <v>206.91</v>
      </c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9">
        <v>561.0</v>
      </c>
      <c r="B187" s="9" t="s">
        <v>40</v>
      </c>
      <c r="C187" s="9" t="s">
        <v>35</v>
      </c>
      <c r="D187" s="9" t="s">
        <v>39</v>
      </c>
      <c r="E187" s="10">
        <v>250.9</v>
      </c>
      <c r="F187" s="11" t="s">
        <v>22</v>
      </c>
      <c r="G187" s="13">
        <f t="shared" ref="G187:G190" si="54">1.93+0.52</f>
        <v>2.45</v>
      </c>
      <c r="H187" s="13">
        <v>62.0</v>
      </c>
      <c r="I187" s="13">
        <v>5.37</v>
      </c>
      <c r="J187" s="13">
        <v>251.0</v>
      </c>
      <c r="K187" s="13">
        <v>5.54</v>
      </c>
      <c r="L187" s="11">
        <v>20.0</v>
      </c>
      <c r="M187" s="11">
        <v>0.09</v>
      </c>
      <c r="N187" s="14">
        <v>0.32</v>
      </c>
      <c r="O187" s="13">
        <v>6.41</v>
      </c>
      <c r="P187" s="11">
        <v>2.0</v>
      </c>
      <c r="Q187" s="11">
        <v>0.05</v>
      </c>
      <c r="R187" s="11">
        <f t="shared" si="20"/>
        <v>22</v>
      </c>
      <c r="S187" s="15">
        <v>0.0877</v>
      </c>
      <c r="T187" s="11">
        <v>93.8</v>
      </c>
      <c r="U187" s="22">
        <f t="shared" si="21"/>
        <v>111.21</v>
      </c>
      <c r="V187" s="4"/>
      <c r="W187" s="4">
        <f t="shared" si="4"/>
        <v>108.76</v>
      </c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18"/>
      <c r="B188" s="18"/>
      <c r="C188" s="18"/>
      <c r="D188" s="18"/>
      <c r="E188" s="18"/>
      <c r="F188" s="11" t="s">
        <v>23</v>
      </c>
      <c r="G188" s="13">
        <f t="shared" si="54"/>
        <v>2.45</v>
      </c>
      <c r="H188" s="13">
        <v>62.0</v>
      </c>
      <c r="I188" s="13">
        <v>5.37</v>
      </c>
      <c r="J188" s="13">
        <v>251.0</v>
      </c>
      <c r="K188" s="13">
        <v>5.54</v>
      </c>
      <c r="L188" s="11">
        <v>18.0</v>
      </c>
      <c r="M188" s="11">
        <v>0.21</v>
      </c>
      <c r="N188" s="14">
        <v>0.3</v>
      </c>
      <c r="O188" s="13">
        <v>6.41</v>
      </c>
      <c r="P188" s="11">
        <v>3.0</v>
      </c>
      <c r="Q188" s="11">
        <v>0.07</v>
      </c>
      <c r="R188" s="21">
        <f t="shared" si="20"/>
        <v>21</v>
      </c>
      <c r="S188" s="15">
        <v>0.0837</v>
      </c>
      <c r="T188" s="11">
        <v>89.83</v>
      </c>
      <c r="U188" s="22">
        <f t="shared" si="21"/>
        <v>107.36</v>
      </c>
      <c r="V188" s="4"/>
      <c r="W188" s="4">
        <f t="shared" si="4"/>
        <v>104.91</v>
      </c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18"/>
      <c r="B189" s="18"/>
      <c r="C189" s="18"/>
      <c r="D189" s="18"/>
      <c r="E189" s="18"/>
      <c r="F189" s="11" t="s">
        <v>24</v>
      </c>
      <c r="G189" s="13">
        <f t="shared" si="54"/>
        <v>2.45</v>
      </c>
      <c r="H189" s="13">
        <v>62.0</v>
      </c>
      <c r="I189" s="13">
        <v>5.37</v>
      </c>
      <c r="J189" s="13">
        <v>251.0</v>
      </c>
      <c r="K189" s="13">
        <v>5.54</v>
      </c>
      <c r="L189" s="11">
        <v>8.0</v>
      </c>
      <c r="M189" s="11">
        <v>0.0</v>
      </c>
      <c r="N189" s="14">
        <v>0.0</v>
      </c>
      <c r="O189" s="13">
        <v>6.41</v>
      </c>
      <c r="P189" s="11">
        <v>0.0</v>
      </c>
      <c r="Q189" s="11">
        <v>0.0</v>
      </c>
      <c r="R189" s="21">
        <f t="shared" si="20"/>
        <v>8</v>
      </c>
      <c r="S189" s="15">
        <v>0.0319</v>
      </c>
      <c r="T189" s="11">
        <v>30.96</v>
      </c>
      <c r="U189" s="22">
        <f t="shared" si="21"/>
        <v>48.28</v>
      </c>
      <c r="V189" s="4"/>
      <c r="W189" s="4">
        <f t="shared" si="4"/>
        <v>45.83</v>
      </c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19"/>
      <c r="B190" s="19"/>
      <c r="C190" s="19"/>
      <c r="D190" s="19"/>
      <c r="E190" s="19"/>
      <c r="F190" s="11" t="s">
        <v>25</v>
      </c>
      <c r="G190" s="13">
        <f t="shared" si="54"/>
        <v>2.45</v>
      </c>
      <c r="H190" s="13">
        <v>62.0</v>
      </c>
      <c r="I190" s="13">
        <v>5.37</v>
      </c>
      <c r="J190" s="13">
        <v>251.0</v>
      </c>
      <c r="K190" s="13">
        <v>5.54</v>
      </c>
      <c r="L190" s="11">
        <v>19.0</v>
      </c>
      <c r="M190" s="11">
        <v>0.54</v>
      </c>
      <c r="N190" s="14">
        <v>0.33</v>
      </c>
      <c r="O190" s="13">
        <v>6.41</v>
      </c>
      <c r="P190" s="11">
        <v>2.0</v>
      </c>
      <c r="Q190" s="11">
        <v>0.04</v>
      </c>
      <c r="R190" s="11">
        <f t="shared" si="20"/>
        <v>21</v>
      </c>
      <c r="S190" s="15">
        <v>0.0837</v>
      </c>
      <c r="T190" s="11">
        <v>89.28</v>
      </c>
      <c r="U190" s="22">
        <f t="shared" si="21"/>
        <v>107.14</v>
      </c>
      <c r="V190" s="4"/>
      <c r="W190" s="4">
        <f t="shared" si="4"/>
        <v>104.69</v>
      </c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9">
        <v>562.0</v>
      </c>
      <c r="B191" s="9" t="s">
        <v>40</v>
      </c>
      <c r="C191" s="9" t="s">
        <v>35</v>
      </c>
      <c r="D191" s="9" t="s">
        <v>39</v>
      </c>
      <c r="E191" s="10">
        <v>295.4</v>
      </c>
      <c r="F191" s="11" t="s">
        <v>22</v>
      </c>
      <c r="G191" s="12">
        <f t="shared" ref="G191:G194" si="55">2.93+0.61</f>
        <v>3.54</v>
      </c>
      <c r="H191" s="13">
        <v>62.0</v>
      </c>
      <c r="I191" s="13">
        <v>5.42</v>
      </c>
      <c r="J191" s="13">
        <v>296.0</v>
      </c>
      <c r="K191" s="13">
        <v>6.81</v>
      </c>
      <c r="L191" s="11">
        <v>20.0</v>
      </c>
      <c r="M191" s="11">
        <v>0.11</v>
      </c>
      <c r="N191" s="14">
        <v>0.42</v>
      </c>
      <c r="O191" s="13">
        <v>7.62</v>
      </c>
      <c r="P191" s="11">
        <v>4.0</v>
      </c>
      <c r="Q191" s="11">
        <v>0.2</v>
      </c>
      <c r="R191" s="11">
        <f t="shared" si="20"/>
        <v>24</v>
      </c>
      <c r="S191" s="15">
        <v>0.0812</v>
      </c>
      <c r="T191" s="11">
        <v>102.97</v>
      </c>
      <c r="U191" s="22">
        <f t="shared" si="21"/>
        <v>122.93</v>
      </c>
      <c r="V191" s="4"/>
      <c r="W191" s="4">
        <f t="shared" si="4"/>
        <v>119.39</v>
      </c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18"/>
      <c r="B192" s="18"/>
      <c r="C192" s="18"/>
      <c r="D192" s="18"/>
      <c r="E192" s="18"/>
      <c r="F192" s="11" t="s">
        <v>23</v>
      </c>
      <c r="G192" s="12">
        <f t="shared" si="55"/>
        <v>3.54</v>
      </c>
      <c r="H192" s="13">
        <v>62.0</v>
      </c>
      <c r="I192" s="13">
        <v>5.42</v>
      </c>
      <c r="J192" s="13">
        <v>296.0</v>
      </c>
      <c r="K192" s="13">
        <v>6.81</v>
      </c>
      <c r="L192" s="11">
        <v>18.0</v>
      </c>
      <c r="M192" s="11">
        <v>0.26</v>
      </c>
      <c r="N192" s="14">
        <v>0.36</v>
      </c>
      <c r="O192" s="13">
        <v>7.62</v>
      </c>
      <c r="P192" s="11">
        <v>4.0</v>
      </c>
      <c r="Q192" s="11">
        <v>0.2</v>
      </c>
      <c r="R192" s="21">
        <f t="shared" si="20"/>
        <v>22</v>
      </c>
      <c r="S192" s="15">
        <v>0.0745</v>
      </c>
      <c r="T192" s="11">
        <v>93.88</v>
      </c>
      <c r="U192" s="22">
        <f t="shared" si="21"/>
        <v>113.99</v>
      </c>
      <c r="V192" s="4"/>
      <c r="W192" s="4">
        <f t="shared" si="4"/>
        <v>110.45</v>
      </c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18"/>
      <c r="B193" s="18"/>
      <c r="C193" s="18"/>
      <c r="D193" s="18"/>
      <c r="E193" s="18"/>
      <c r="F193" s="11" t="s">
        <v>24</v>
      </c>
      <c r="G193" s="12">
        <f t="shared" si="55"/>
        <v>3.54</v>
      </c>
      <c r="H193" s="13">
        <v>62.0</v>
      </c>
      <c r="I193" s="13">
        <v>5.42</v>
      </c>
      <c r="J193" s="13">
        <v>296.0</v>
      </c>
      <c r="K193" s="13">
        <v>6.81</v>
      </c>
      <c r="L193" s="11">
        <v>19.0</v>
      </c>
      <c r="M193" s="11">
        <v>0.0</v>
      </c>
      <c r="N193" s="14">
        <v>0.0</v>
      </c>
      <c r="O193" s="13">
        <v>7.62</v>
      </c>
      <c r="P193" s="11">
        <v>0.0</v>
      </c>
      <c r="Q193" s="11">
        <v>0.0</v>
      </c>
      <c r="R193" s="21">
        <f t="shared" si="20"/>
        <v>19</v>
      </c>
      <c r="S193" s="15">
        <v>0.0643</v>
      </c>
      <c r="T193" s="11">
        <v>73.93</v>
      </c>
      <c r="U193" s="22">
        <f t="shared" si="21"/>
        <v>93.78</v>
      </c>
      <c r="V193" s="4"/>
      <c r="W193" s="4">
        <f t="shared" si="4"/>
        <v>90.24</v>
      </c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19"/>
      <c r="B194" s="19"/>
      <c r="C194" s="19"/>
      <c r="D194" s="19"/>
      <c r="E194" s="19"/>
      <c r="F194" s="11" t="s">
        <v>25</v>
      </c>
      <c r="G194" s="12">
        <f t="shared" si="55"/>
        <v>3.54</v>
      </c>
      <c r="H194" s="13">
        <v>62.0</v>
      </c>
      <c r="I194" s="13">
        <v>5.42</v>
      </c>
      <c r="J194" s="13">
        <v>296.0</v>
      </c>
      <c r="K194" s="13">
        <v>6.81</v>
      </c>
      <c r="L194" s="11">
        <v>18.0</v>
      </c>
      <c r="M194" s="11">
        <v>1.14</v>
      </c>
      <c r="N194" s="14">
        <v>0.38</v>
      </c>
      <c r="O194" s="13">
        <v>7.62</v>
      </c>
      <c r="P194" s="11">
        <v>3.0</v>
      </c>
      <c r="Q194" s="11">
        <v>0.14</v>
      </c>
      <c r="R194" s="11">
        <f t="shared" si="20"/>
        <v>21</v>
      </c>
      <c r="S194" s="15">
        <v>0.0711</v>
      </c>
      <c r="T194" s="11">
        <v>89.99</v>
      </c>
      <c r="U194" s="22">
        <f t="shared" si="21"/>
        <v>110.98</v>
      </c>
      <c r="V194" s="4"/>
      <c r="W194" s="4">
        <f t="shared" si="4"/>
        <v>107.44</v>
      </c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9">
        <v>564.0</v>
      </c>
      <c r="B195" s="9" t="s">
        <v>40</v>
      </c>
      <c r="C195" s="9" t="s">
        <v>35</v>
      </c>
      <c r="D195" s="9" t="s">
        <v>39</v>
      </c>
      <c r="E195" s="10">
        <v>478.5</v>
      </c>
      <c r="F195" s="11" t="s">
        <v>22</v>
      </c>
      <c r="G195" s="12">
        <f t="shared" ref="G195:G198" si="56">2.31+0.92</f>
        <v>3.23</v>
      </c>
      <c r="H195" s="13">
        <v>62.0</v>
      </c>
      <c r="I195" s="13">
        <v>5.08</v>
      </c>
      <c r="J195" s="13">
        <v>479.0</v>
      </c>
      <c r="K195" s="13">
        <v>9.9</v>
      </c>
      <c r="L195" s="11">
        <v>55.0</v>
      </c>
      <c r="M195" s="11">
        <v>0.2</v>
      </c>
      <c r="N195" s="14">
        <v>0.87</v>
      </c>
      <c r="O195" s="13">
        <v>26.77</v>
      </c>
      <c r="P195" s="11">
        <v>2.0</v>
      </c>
      <c r="Q195" s="11">
        <v>0.05</v>
      </c>
      <c r="R195" s="11">
        <f t="shared" si="20"/>
        <v>57</v>
      </c>
      <c r="S195" s="15">
        <v>0.1191</v>
      </c>
      <c r="T195" s="11">
        <v>242.77</v>
      </c>
      <c r="U195" s="22">
        <f t="shared" si="21"/>
        <v>284.72</v>
      </c>
      <c r="V195" s="4"/>
      <c r="W195" s="4">
        <f t="shared" si="4"/>
        <v>281.49</v>
      </c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18"/>
      <c r="B196" s="18"/>
      <c r="C196" s="18"/>
      <c r="D196" s="18"/>
      <c r="E196" s="18"/>
      <c r="F196" s="11" t="s">
        <v>23</v>
      </c>
      <c r="G196" s="12">
        <f t="shared" si="56"/>
        <v>3.23</v>
      </c>
      <c r="H196" s="13">
        <v>62.0</v>
      </c>
      <c r="I196" s="13">
        <v>5.08</v>
      </c>
      <c r="J196" s="13">
        <v>479.0</v>
      </c>
      <c r="K196" s="13">
        <v>9.9</v>
      </c>
      <c r="L196" s="11">
        <v>54.0</v>
      </c>
      <c r="M196" s="11">
        <v>0.4</v>
      </c>
      <c r="N196" s="14">
        <v>0.82</v>
      </c>
      <c r="O196" s="13">
        <v>26.77</v>
      </c>
      <c r="P196" s="11">
        <v>2.0</v>
      </c>
      <c r="Q196" s="11">
        <v>0.05</v>
      </c>
      <c r="R196" s="21">
        <f t="shared" si="20"/>
        <v>56</v>
      </c>
      <c r="S196" s="15">
        <v>0.117</v>
      </c>
      <c r="T196" s="11">
        <v>238.95</v>
      </c>
      <c r="U196" s="22">
        <f t="shared" si="21"/>
        <v>281.1</v>
      </c>
      <c r="V196" s="4"/>
      <c r="W196" s="4">
        <f t="shared" si="4"/>
        <v>277.87</v>
      </c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18"/>
      <c r="B197" s="18"/>
      <c r="C197" s="18"/>
      <c r="D197" s="18"/>
      <c r="E197" s="18"/>
      <c r="F197" s="11" t="s">
        <v>24</v>
      </c>
      <c r="G197" s="12">
        <f t="shared" si="56"/>
        <v>3.23</v>
      </c>
      <c r="H197" s="13">
        <v>62.0</v>
      </c>
      <c r="I197" s="13">
        <v>5.08</v>
      </c>
      <c r="J197" s="13">
        <v>479.0</v>
      </c>
      <c r="K197" s="13">
        <v>9.9</v>
      </c>
      <c r="L197" s="11">
        <v>46.0</v>
      </c>
      <c r="M197" s="11">
        <v>0.0</v>
      </c>
      <c r="N197" s="14">
        <v>0.0</v>
      </c>
      <c r="O197" s="13">
        <v>26.77</v>
      </c>
      <c r="P197" s="11">
        <v>0.0</v>
      </c>
      <c r="Q197" s="11">
        <v>0.0</v>
      </c>
      <c r="R197" s="21">
        <f t="shared" si="20"/>
        <v>46</v>
      </c>
      <c r="S197" s="15">
        <v>0.0961</v>
      </c>
      <c r="T197" s="11">
        <v>177.86</v>
      </c>
      <c r="U197" s="22">
        <f t="shared" si="21"/>
        <v>219.61</v>
      </c>
      <c r="V197" s="4"/>
      <c r="W197" s="4">
        <f t="shared" si="4"/>
        <v>216.38</v>
      </c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19"/>
      <c r="B198" s="19"/>
      <c r="C198" s="19"/>
      <c r="D198" s="19"/>
      <c r="E198" s="19"/>
      <c r="F198" s="11" t="s">
        <v>25</v>
      </c>
      <c r="G198" s="12">
        <f t="shared" si="56"/>
        <v>3.23</v>
      </c>
      <c r="H198" s="13">
        <v>62.0</v>
      </c>
      <c r="I198" s="13">
        <v>5.08</v>
      </c>
      <c r="J198" s="13">
        <v>479.0</v>
      </c>
      <c r="K198" s="13">
        <v>9.9</v>
      </c>
      <c r="L198" s="11">
        <v>20.0</v>
      </c>
      <c r="M198" s="11">
        <v>1.83</v>
      </c>
      <c r="N198" s="14">
        <v>0.26</v>
      </c>
      <c r="O198" s="13">
        <v>26.77</v>
      </c>
      <c r="P198" s="11">
        <v>6.0</v>
      </c>
      <c r="Q198" s="11">
        <v>0.16</v>
      </c>
      <c r="R198" s="11">
        <f t="shared" si="20"/>
        <v>26</v>
      </c>
      <c r="S198" s="15">
        <v>0.0543</v>
      </c>
      <c r="T198" s="11">
        <v>110.83</v>
      </c>
      <c r="U198" s="22">
        <f t="shared" si="21"/>
        <v>154.41</v>
      </c>
      <c r="V198" s="4"/>
      <c r="W198" s="4">
        <f t="shared" si="4"/>
        <v>151.18</v>
      </c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6">
        <f t="shared" si="20"/>
        <v>0</v>
      </c>
      <c r="S199" s="20"/>
      <c r="T199" s="4"/>
      <c r="U199" s="8">
        <f t="shared" si="21"/>
        <v>0</v>
      </c>
      <c r="V199" s="4"/>
      <c r="W199" s="4">
        <f t="shared" si="4"/>
        <v>0</v>
      </c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6">
        <f t="shared" si="20"/>
        <v>0</v>
      </c>
      <c r="S200" s="20"/>
      <c r="T200" s="4"/>
      <c r="U200" s="8">
        <f t="shared" si="21"/>
        <v>0</v>
      </c>
      <c r="V200" s="4"/>
      <c r="W200" s="4">
        <f t="shared" si="4"/>
        <v>0</v>
      </c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9">
        <v>1.0</v>
      </c>
      <c r="B201" s="9" t="s">
        <v>48</v>
      </c>
      <c r="C201" s="23" t="s">
        <v>41</v>
      </c>
      <c r="D201" s="23" t="s">
        <v>42</v>
      </c>
      <c r="E201" s="10">
        <v>74.3</v>
      </c>
      <c r="F201" s="11" t="s">
        <v>22</v>
      </c>
      <c r="G201" s="12">
        <f t="shared" ref="G201:G204" si="57">2.02+0.69</f>
        <v>2.71</v>
      </c>
      <c r="H201" s="13">
        <v>38.0</v>
      </c>
      <c r="I201" s="13">
        <v>15.98</v>
      </c>
      <c r="J201" s="13">
        <v>77.0</v>
      </c>
      <c r="K201" s="13">
        <v>1.8</v>
      </c>
      <c r="L201" s="11">
        <v>11.0</v>
      </c>
      <c r="M201" s="11">
        <v>0.04</v>
      </c>
      <c r="N201" s="14">
        <v>0.28</v>
      </c>
      <c r="O201" s="13">
        <v>6.91</v>
      </c>
      <c r="P201" s="11">
        <v>0.0</v>
      </c>
      <c r="Q201" s="11">
        <v>0.0</v>
      </c>
      <c r="R201" s="11">
        <f t="shared" si="20"/>
        <v>11</v>
      </c>
      <c r="S201" s="15">
        <v>0.148</v>
      </c>
      <c r="T201" s="11">
        <v>46.93</v>
      </c>
      <c r="U201" s="22">
        <f t="shared" si="21"/>
        <v>71.66</v>
      </c>
      <c r="V201" s="4"/>
      <c r="W201" s="4">
        <f t="shared" si="4"/>
        <v>68.95</v>
      </c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18"/>
      <c r="B202" s="18"/>
      <c r="C202" s="18"/>
      <c r="D202" s="18"/>
      <c r="E202" s="18"/>
      <c r="F202" s="11" t="s">
        <v>23</v>
      </c>
      <c r="G202" s="12">
        <f t="shared" si="57"/>
        <v>2.71</v>
      </c>
      <c r="H202" s="13">
        <v>38.0</v>
      </c>
      <c r="I202" s="13">
        <v>15.98</v>
      </c>
      <c r="J202" s="13">
        <v>77.0</v>
      </c>
      <c r="K202" s="13">
        <v>1.8</v>
      </c>
      <c r="L202" s="11">
        <v>6.0</v>
      </c>
      <c r="M202" s="11">
        <v>0.07</v>
      </c>
      <c r="N202" s="14">
        <v>0.13</v>
      </c>
      <c r="O202" s="13">
        <v>6.91</v>
      </c>
      <c r="P202" s="11">
        <v>0.0</v>
      </c>
      <c r="Q202" s="11">
        <v>0.0</v>
      </c>
      <c r="R202" s="21">
        <f t="shared" si="20"/>
        <v>6</v>
      </c>
      <c r="S202" s="15">
        <v>0.0808</v>
      </c>
      <c r="T202" s="11">
        <v>25.54</v>
      </c>
      <c r="U202" s="22">
        <f t="shared" si="21"/>
        <v>50.3</v>
      </c>
      <c r="V202" s="4"/>
      <c r="W202" s="4">
        <f t="shared" si="4"/>
        <v>47.59</v>
      </c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18"/>
      <c r="B203" s="18"/>
      <c r="C203" s="18"/>
      <c r="D203" s="18"/>
      <c r="E203" s="18"/>
      <c r="F203" s="11" t="s">
        <v>24</v>
      </c>
      <c r="G203" s="12">
        <f t="shared" si="57"/>
        <v>2.71</v>
      </c>
      <c r="H203" s="13">
        <v>38.0</v>
      </c>
      <c r="I203" s="13">
        <v>15.98</v>
      </c>
      <c r="J203" s="13">
        <v>77.0</v>
      </c>
      <c r="K203" s="13">
        <v>1.8</v>
      </c>
      <c r="L203" s="11">
        <v>8.0</v>
      </c>
      <c r="M203" s="11">
        <v>0.0</v>
      </c>
      <c r="N203" s="14">
        <v>0.0</v>
      </c>
      <c r="O203" s="13">
        <v>6.91</v>
      </c>
      <c r="P203" s="11">
        <v>0.0</v>
      </c>
      <c r="Q203" s="11">
        <v>0.0</v>
      </c>
      <c r="R203" s="21">
        <f t="shared" si="20"/>
        <v>8</v>
      </c>
      <c r="S203" s="15">
        <v>0.1077</v>
      </c>
      <c r="T203" s="11">
        <v>30.92</v>
      </c>
      <c r="U203" s="22">
        <f t="shared" si="21"/>
        <v>55.61</v>
      </c>
      <c r="V203" s="4"/>
      <c r="W203" s="4">
        <f t="shared" si="4"/>
        <v>52.9</v>
      </c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19"/>
      <c r="B204" s="19"/>
      <c r="C204" s="19"/>
      <c r="D204" s="19"/>
      <c r="E204" s="19"/>
      <c r="F204" s="11" t="s">
        <v>25</v>
      </c>
      <c r="G204" s="12">
        <f t="shared" si="57"/>
        <v>2.71</v>
      </c>
      <c r="H204" s="13">
        <v>38.0</v>
      </c>
      <c r="I204" s="13">
        <v>15.98</v>
      </c>
      <c r="J204" s="13">
        <v>77.0</v>
      </c>
      <c r="K204" s="13">
        <v>1.8</v>
      </c>
      <c r="L204" s="11">
        <v>12.0</v>
      </c>
      <c r="M204" s="11">
        <v>0.17</v>
      </c>
      <c r="N204" s="14">
        <v>0.34</v>
      </c>
      <c r="O204" s="13">
        <v>6.91</v>
      </c>
      <c r="P204" s="11">
        <v>0.0</v>
      </c>
      <c r="Q204" s="11">
        <v>0.0</v>
      </c>
      <c r="R204" s="11">
        <f t="shared" si="20"/>
        <v>12</v>
      </c>
      <c r="S204" s="15">
        <v>0.1615</v>
      </c>
      <c r="T204" s="11">
        <v>50.66</v>
      </c>
      <c r="U204" s="22">
        <f t="shared" si="21"/>
        <v>75.52</v>
      </c>
      <c r="V204" s="4"/>
      <c r="W204" s="4">
        <f t="shared" si="4"/>
        <v>72.81</v>
      </c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9">
        <v>2.0</v>
      </c>
      <c r="B205" s="9" t="s">
        <v>48</v>
      </c>
      <c r="C205" s="23" t="s">
        <v>41</v>
      </c>
      <c r="D205" s="23" t="s">
        <v>42</v>
      </c>
      <c r="E205" s="10">
        <v>86.3</v>
      </c>
      <c r="F205" s="11" t="s">
        <v>22</v>
      </c>
      <c r="G205" s="12">
        <f t="shared" ref="G205:G208" si="58">1.55+0.29</f>
        <v>1.84</v>
      </c>
      <c r="H205" s="13">
        <v>48.0</v>
      </c>
      <c r="I205" s="13">
        <v>4.74</v>
      </c>
      <c r="J205" s="13">
        <v>87.0</v>
      </c>
      <c r="K205" s="13">
        <v>1.89</v>
      </c>
      <c r="L205" s="11">
        <v>5.0</v>
      </c>
      <c r="M205" s="11">
        <v>0.03</v>
      </c>
      <c r="N205" s="14">
        <v>0.14</v>
      </c>
      <c r="O205" s="13">
        <v>4.31</v>
      </c>
      <c r="P205" s="11">
        <v>0.0</v>
      </c>
      <c r="Q205" s="11">
        <v>0.0</v>
      </c>
      <c r="R205" s="11">
        <f t="shared" si="20"/>
        <v>5</v>
      </c>
      <c r="S205" s="15">
        <v>0.0579</v>
      </c>
      <c r="T205" s="11">
        <v>21.31</v>
      </c>
      <c r="U205" s="22">
        <f t="shared" si="21"/>
        <v>32.28</v>
      </c>
      <c r="V205" s="4"/>
      <c r="W205" s="4">
        <f t="shared" si="4"/>
        <v>30.44</v>
      </c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18"/>
      <c r="B206" s="18"/>
      <c r="C206" s="18"/>
      <c r="D206" s="18"/>
      <c r="E206" s="18"/>
      <c r="F206" s="11" t="s">
        <v>23</v>
      </c>
      <c r="G206" s="12">
        <f t="shared" si="58"/>
        <v>1.84</v>
      </c>
      <c r="H206" s="13">
        <v>48.0</v>
      </c>
      <c r="I206" s="13">
        <v>4.74</v>
      </c>
      <c r="J206" s="13">
        <v>87.0</v>
      </c>
      <c r="K206" s="13">
        <v>1.89</v>
      </c>
      <c r="L206" s="11">
        <v>5.0</v>
      </c>
      <c r="M206" s="11">
        <v>0.08</v>
      </c>
      <c r="N206" s="14">
        <v>0.14</v>
      </c>
      <c r="O206" s="13">
        <v>4.31</v>
      </c>
      <c r="P206" s="11">
        <v>0.0</v>
      </c>
      <c r="Q206" s="11">
        <v>0.0</v>
      </c>
      <c r="R206" s="21">
        <f t="shared" si="20"/>
        <v>5</v>
      </c>
      <c r="S206" s="15">
        <v>0.0579</v>
      </c>
      <c r="T206" s="11">
        <v>21.31</v>
      </c>
      <c r="U206" s="22">
        <f t="shared" si="21"/>
        <v>32.33</v>
      </c>
      <c r="V206" s="4"/>
      <c r="W206" s="4">
        <f t="shared" si="4"/>
        <v>30.49</v>
      </c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18"/>
      <c r="B207" s="18"/>
      <c r="C207" s="18"/>
      <c r="D207" s="18"/>
      <c r="E207" s="18"/>
      <c r="F207" s="11" t="s">
        <v>24</v>
      </c>
      <c r="G207" s="12">
        <f t="shared" si="58"/>
        <v>1.84</v>
      </c>
      <c r="H207" s="13">
        <v>48.0</v>
      </c>
      <c r="I207" s="13">
        <v>4.74</v>
      </c>
      <c r="J207" s="13">
        <v>87.0</v>
      </c>
      <c r="K207" s="13">
        <v>1.89</v>
      </c>
      <c r="L207" s="11">
        <v>9.0</v>
      </c>
      <c r="M207" s="11">
        <v>0.0</v>
      </c>
      <c r="N207" s="14">
        <v>0.0</v>
      </c>
      <c r="O207" s="13">
        <v>4.31</v>
      </c>
      <c r="P207" s="11">
        <v>0.0</v>
      </c>
      <c r="Q207" s="11">
        <v>0.0</v>
      </c>
      <c r="R207" s="21">
        <f t="shared" si="20"/>
        <v>9</v>
      </c>
      <c r="S207" s="15">
        <v>0.1043</v>
      </c>
      <c r="T207" s="11">
        <v>34.88</v>
      </c>
      <c r="U207" s="22">
        <f t="shared" si="21"/>
        <v>45.82</v>
      </c>
      <c r="V207" s="4"/>
      <c r="W207" s="4">
        <f t="shared" si="4"/>
        <v>43.98</v>
      </c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19"/>
      <c r="B208" s="19"/>
      <c r="C208" s="19"/>
      <c r="D208" s="19"/>
      <c r="E208" s="19"/>
      <c r="F208" s="11" t="s">
        <v>25</v>
      </c>
      <c r="G208" s="12">
        <f t="shared" si="58"/>
        <v>1.84</v>
      </c>
      <c r="H208" s="13">
        <v>48.0</v>
      </c>
      <c r="I208" s="13">
        <v>4.74</v>
      </c>
      <c r="J208" s="13">
        <v>87.0</v>
      </c>
      <c r="K208" s="13">
        <v>1.89</v>
      </c>
      <c r="L208" s="11">
        <v>5.0</v>
      </c>
      <c r="M208" s="11">
        <v>0.13</v>
      </c>
      <c r="N208" s="14">
        <v>0.1</v>
      </c>
      <c r="O208" s="13">
        <v>4.31</v>
      </c>
      <c r="P208" s="11">
        <v>0.0</v>
      </c>
      <c r="Q208" s="11">
        <v>0.0</v>
      </c>
      <c r="R208" s="11">
        <f t="shared" si="20"/>
        <v>5</v>
      </c>
      <c r="S208" s="15">
        <v>0.0579</v>
      </c>
      <c r="T208" s="11">
        <v>21.37</v>
      </c>
      <c r="U208" s="22">
        <f t="shared" si="21"/>
        <v>32.44</v>
      </c>
      <c r="V208" s="4"/>
      <c r="W208" s="4">
        <f t="shared" si="4"/>
        <v>30.6</v>
      </c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9">
        <v>3.0</v>
      </c>
      <c r="B209" s="9" t="s">
        <v>48</v>
      </c>
      <c r="C209" s="23" t="s">
        <v>41</v>
      </c>
      <c r="D209" s="23" t="s">
        <v>42</v>
      </c>
      <c r="E209" s="10">
        <v>113.1</v>
      </c>
      <c r="F209" s="11" t="s">
        <v>22</v>
      </c>
      <c r="G209" s="12">
        <f t="shared" ref="G209:G212" si="59">1.32+0.32</f>
        <v>1.64</v>
      </c>
      <c r="H209" s="13">
        <v>62.0</v>
      </c>
      <c r="I209" s="13">
        <v>4.85</v>
      </c>
      <c r="J209" s="13">
        <v>118.0</v>
      </c>
      <c r="K209" s="13">
        <v>2.46</v>
      </c>
      <c r="L209" s="11">
        <v>4.0</v>
      </c>
      <c r="M209" s="11">
        <v>0.05</v>
      </c>
      <c r="N209" s="14">
        <v>0.06</v>
      </c>
      <c r="O209" s="13">
        <v>5.89</v>
      </c>
      <c r="P209" s="11">
        <v>1.0</v>
      </c>
      <c r="Q209" s="11">
        <v>0.03</v>
      </c>
      <c r="R209" s="11">
        <f t="shared" si="20"/>
        <v>5</v>
      </c>
      <c r="S209" s="15">
        <v>0.0442</v>
      </c>
      <c r="T209" s="11">
        <v>20.99</v>
      </c>
      <c r="U209" s="22">
        <f t="shared" si="21"/>
        <v>34.24</v>
      </c>
      <c r="V209" s="4"/>
      <c r="W209" s="4">
        <f t="shared" si="4"/>
        <v>32.6</v>
      </c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18"/>
      <c r="B210" s="18"/>
      <c r="C210" s="18"/>
      <c r="D210" s="18"/>
      <c r="E210" s="18"/>
      <c r="F210" s="11" t="s">
        <v>23</v>
      </c>
      <c r="G210" s="12">
        <f t="shared" si="59"/>
        <v>1.64</v>
      </c>
      <c r="H210" s="13">
        <v>62.0</v>
      </c>
      <c r="I210" s="13">
        <v>4.85</v>
      </c>
      <c r="J210" s="13">
        <v>118.0</v>
      </c>
      <c r="K210" s="13">
        <v>2.46</v>
      </c>
      <c r="L210" s="11">
        <v>4.0</v>
      </c>
      <c r="M210" s="11">
        <v>0.11</v>
      </c>
      <c r="N210" s="14">
        <v>0.06</v>
      </c>
      <c r="O210" s="13">
        <v>5.89</v>
      </c>
      <c r="P210" s="11">
        <v>1.0</v>
      </c>
      <c r="Q210" s="11">
        <v>0.04</v>
      </c>
      <c r="R210" s="21">
        <f t="shared" si="20"/>
        <v>5</v>
      </c>
      <c r="S210" s="15">
        <v>0.0442</v>
      </c>
      <c r="T210" s="11">
        <v>21.06</v>
      </c>
      <c r="U210" s="22">
        <f t="shared" si="21"/>
        <v>34.37</v>
      </c>
      <c r="V210" s="4"/>
      <c r="W210" s="4">
        <f t="shared" si="4"/>
        <v>32.73</v>
      </c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18"/>
      <c r="B211" s="18"/>
      <c r="C211" s="18"/>
      <c r="D211" s="18"/>
      <c r="E211" s="18"/>
      <c r="F211" s="11" t="s">
        <v>24</v>
      </c>
      <c r="G211" s="12">
        <f t="shared" si="59"/>
        <v>1.64</v>
      </c>
      <c r="H211" s="13">
        <v>62.0</v>
      </c>
      <c r="I211" s="13">
        <v>4.85</v>
      </c>
      <c r="J211" s="13">
        <v>118.0</v>
      </c>
      <c r="K211" s="13">
        <v>2.46</v>
      </c>
      <c r="L211" s="11">
        <v>10.0</v>
      </c>
      <c r="M211" s="11">
        <v>0.0</v>
      </c>
      <c r="N211" s="14">
        <v>0.0</v>
      </c>
      <c r="O211" s="13">
        <v>5.89</v>
      </c>
      <c r="P211" s="11">
        <v>0.0</v>
      </c>
      <c r="Q211" s="11">
        <v>0.0</v>
      </c>
      <c r="R211" s="21">
        <f t="shared" si="20"/>
        <v>10</v>
      </c>
      <c r="S211" s="15">
        <v>0.0884</v>
      </c>
      <c r="T211" s="11">
        <v>38.82</v>
      </c>
      <c r="U211" s="22">
        <f t="shared" si="21"/>
        <v>52.02</v>
      </c>
      <c r="V211" s="4"/>
      <c r="W211" s="4">
        <f t="shared" si="4"/>
        <v>50.38</v>
      </c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19"/>
      <c r="B212" s="19"/>
      <c r="C212" s="19"/>
      <c r="D212" s="19"/>
      <c r="E212" s="19"/>
      <c r="F212" s="11" t="s">
        <v>25</v>
      </c>
      <c r="G212" s="12">
        <f t="shared" si="59"/>
        <v>1.64</v>
      </c>
      <c r="H212" s="13">
        <v>62.0</v>
      </c>
      <c r="I212" s="13">
        <v>4.85</v>
      </c>
      <c r="J212" s="13">
        <v>118.0</v>
      </c>
      <c r="K212" s="13">
        <v>2.46</v>
      </c>
      <c r="L212" s="11">
        <v>9.0</v>
      </c>
      <c r="M212" s="11">
        <v>0.17</v>
      </c>
      <c r="N212" s="14">
        <v>0.12</v>
      </c>
      <c r="O212" s="13">
        <v>5.89</v>
      </c>
      <c r="P212" s="11">
        <v>0.0</v>
      </c>
      <c r="Q212" s="11">
        <v>0.0</v>
      </c>
      <c r="R212" s="11">
        <f t="shared" si="20"/>
        <v>9</v>
      </c>
      <c r="S212" s="15">
        <v>0.0796</v>
      </c>
      <c r="T212" s="11">
        <v>37.93</v>
      </c>
      <c r="U212" s="22">
        <f t="shared" si="21"/>
        <v>51.3</v>
      </c>
      <c r="V212" s="4"/>
      <c r="W212" s="4">
        <f t="shared" si="4"/>
        <v>49.66</v>
      </c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9">
        <v>21.0</v>
      </c>
      <c r="B213" s="9" t="s">
        <v>48</v>
      </c>
      <c r="C213" s="23" t="s">
        <v>41</v>
      </c>
      <c r="D213" s="9" t="s">
        <v>43</v>
      </c>
      <c r="E213" s="10">
        <v>83.9</v>
      </c>
      <c r="F213" s="11" t="s">
        <v>22</v>
      </c>
      <c r="G213" s="13">
        <f t="shared" ref="G213:G216" si="60">1.48+0.27</f>
        <v>1.75</v>
      </c>
      <c r="H213" s="13">
        <v>45.0</v>
      </c>
      <c r="I213" s="13">
        <v>4.55</v>
      </c>
      <c r="J213" s="13">
        <v>84.0</v>
      </c>
      <c r="K213" s="13">
        <v>1.79</v>
      </c>
      <c r="L213" s="11">
        <v>9.0</v>
      </c>
      <c r="M213" s="11">
        <v>0.03</v>
      </c>
      <c r="N213" s="14">
        <v>0.13</v>
      </c>
      <c r="O213" s="13">
        <v>3.19</v>
      </c>
      <c r="P213" s="11">
        <v>0.0</v>
      </c>
      <c r="Q213" s="11">
        <v>0.0</v>
      </c>
      <c r="R213" s="11">
        <f t="shared" si="20"/>
        <v>9</v>
      </c>
      <c r="S213" s="15">
        <v>0.1073</v>
      </c>
      <c r="T213" s="11">
        <v>38.42</v>
      </c>
      <c r="U213" s="22">
        <f t="shared" si="21"/>
        <v>47.98</v>
      </c>
      <c r="V213" s="4"/>
      <c r="W213" s="4">
        <f t="shared" si="4"/>
        <v>46.23</v>
      </c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18"/>
      <c r="B214" s="18"/>
      <c r="C214" s="18"/>
      <c r="D214" s="18"/>
      <c r="E214" s="18"/>
      <c r="F214" s="11" t="s">
        <v>23</v>
      </c>
      <c r="G214" s="13">
        <f t="shared" si="60"/>
        <v>1.75</v>
      </c>
      <c r="H214" s="13">
        <v>45.0</v>
      </c>
      <c r="I214" s="13">
        <v>4.55</v>
      </c>
      <c r="J214" s="13">
        <v>84.0</v>
      </c>
      <c r="K214" s="13">
        <v>1.79</v>
      </c>
      <c r="L214" s="11">
        <v>6.0</v>
      </c>
      <c r="M214" s="11">
        <v>0.07</v>
      </c>
      <c r="N214" s="14">
        <v>0.1</v>
      </c>
      <c r="O214" s="13">
        <v>3.19</v>
      </c>
      <c r="P214" s="11">
        <v>1.0</v>
      </c>
      <c r="Q214" s="11">
        <v>0.04</v>
      </c>
      <c r="R214" s="21">
        <f t="shared" si="20"/>
        <v>7</v>
      </c>
      <c r="S214" s="15">
        <v>0.0834</v>
      </c>
      <c r="T214" s="11">
        <v>29.65</v>
      </c>
      <c r="U214" s="22">
        <f t="shared" si="21"/>
        <v>39.25</v>
      </c>
      <c r="V214" s="4"/>
      <c r="W214" s="4">
        <f t="shared" si="4"/>
        <v>37.5</v>
      </c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18"/>
      <c r="B215" s="18"/>
      <c r="C215" s="18"/>
      <c r="D215" s="18"/>
      <c r="E215" s="18"/>
      <c r="F215" s="11" t="s">
        <v>24</v>
      </c>
      <c r="G215" s="13">
        <f t="shared" si="60"/>
        <v>1.75</v>
      </c>
      <c r="H215" s="13">
        <v>45.0</v>
      </c>
      <c r="I215" s="13">
        <v>4.55</v>
      </c>
      <c r="J215" s="13">
        <v>84.0</v>
      </c>
      <c r="K215" s="13">
        <v>1.79</v>
      </c>
      <c r="L215" s="11">
        <v>7.0</v>
      </c>
      <c r="M215" s="11">
        <v>0.0</v>
      </c>
      <c r="N215" s="14">
        <v>0.0</v>
      </c>
      <c r="O215" s="13">
        <v>3.19</v>
      </c>
      <c r="P215" s="11">
        <v>0.0</v>
      </c>
      <c r="Q215" s="11">
        <v>0.0</v>
      </c>
      <c r="R215" s="21">
        <f t="shared" si="20"/>
        <v>7</v>
      </c>
      <c r="S215" s="15">
        <v>0.0834</v>
      </c>
      <c r="T215" s="11">
        <v>26.97</v>
      </c>
      <c r="U215" s="22">
        <f t="shared" si="21"/>
        <v>36.5</v>
      </c>
      <c r="V215" s="4"/>
      <c r="W215" s="4">
        <f t="shared" si="4"/>
        <v>34.75</v>
      </c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19"/>
      <c r="B216" s="19"/>
      <c r="C216" s="19"/>
      <c r="D216" s="19"/>
      <c r="E216" s="19"/>
      <c r="F216" s="11" t="s">
        <v>25</v>
      </c>
      <c r="G216" s="13">
        <f t="shared" si="60"/>
        <v>1.75</v>
      </c>
      <c r="H216" s="13">
        <v>45.0</v>
      </c>
      <c r="I216" s="13">
        <v>4.55</v>
      </c>
      <c r="J216" s="13">
        <v>84.0</v>
      </c>
      <c r="K216" s="13">
        <v>1.79</v>
      </c>
      <c r="L216" s="11">
        <v>8.0</v>
      </c>
      <c r="M216" s="11">
        <v>0.11</v>
      </c>
      <c r="N216" s="14">
        <v>0.11</v>
      </c>
      <c r="O216" s="13">
        <v>3.19</v>
      </c>
      <c r="P216" s="11">
        <v>0.0</v>
      </c>
      <c r="Q216" s="11">
        <v>0.0</v>
      </c>
      <c r="R216" s="11">
        <f t="shared" si="20"/>
        <v>8</v>
      </c>
      <c r="S216" s="15">
        <v>0.0954</v>
      </c>
      <c r="T216" s="11">
        <v>34.07</v>
      </c>
      <c r="U216" s="22">
        <f t="shared" si="21"/>
        <v>43.71</v>
      </c>
      <c r="V216" s="4"/>
      <c r="W216" s="4">
        <f t="shared" si="4"/>
        <v>41.96</v>
      </c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9">
        <v>22.0</v>
      </c>
      <c r="B217" s="9" t="s">
        <v>48</v>
      </c>
      <c r="C217" s="23" t="s">
        <v>41</v>
      </c>
      <c r="D217" s="9" t="s">
        <v>43</v>
      </c>
      <c r="E217" s="10">
        <v>95.0</v>
      </c>
      <c r="F217" s="11" t="s">
        <v>22</v>
      </c>
      <c r="G217" s="12">
        <f t="shared" ref="G217:G220" si="61">1.43+0.28</f>
        <v>1.71</v>
      </c>
      <c r="H217" s="13">
        <v>60.0</v>
      </c>
      <c r="I217" s="13">
        <v>4.89</v>
      </c>
      <c r="J217" s="13">
        <v>99.0</v>
      </c>
      <c r="K217" s="13">
        <v>2.07</v>
      </c>
      <c r="L217" s="11">
        <v>14.0</v>
      </c>
      <c r="M217" s="11">
        <v>0.04</v>
      </c>
      <c r="N217" s="14">
        <v>0.2</v>
      </c>
      <c r="O217" s="13">
        <v>4.92</v>
      </c>
      <c r="P217" s="11">
        <v>0.0</v>
      </c>
      <c r="Q217" s="11">
        <v>0.0</v>
      </c>
      <c r="R217" s="11">
        <f t="shared" si="20"/>
        <v>14</v>
      </c>
      <c r="S217" s="15">
        <v>0.1474</v>
      </c>
      <c r="T217" s="11">
        <v>59.58</v>
      </c>
      <c r="U217" s="22">
        <f t="shared" si="21"/>
        <v>71.5</v>
      </c>
      <c r="V217" s="4"/>
      <c r="W217" s="4">
        <f t="shared" si="4"/>
        <v>69.79</v>
      </c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18"/>
      <c r="B218" s="18"/>
      <c r="C218" s="18"/>
      <c r="D218" s="18"/>
      <c r="E218" s="18"/>
      <c r="F218" s="11" t="s">
        <v>23</v>
      </c>
      <c r="G218" s="12">
        <f t="shared" si="61"/>
        <v>1.71</v>
      </c>
      <c r="H218" s="13">
        <v>60.0</v>
      </c>
      <c r="I218" s="13">
        <v>4.89</v>
      </c>
      <c r="J218" s="13">
        <v>99.0</v>
      </c>
      <c r="K218" s="13">
        <v>2.07</v>
      </c>
      <c r="L218" s="11">
        <v>10.0</v>
      </c>
      <c r="M218" s="11">
        <v>0.09</v>
      </c>
      <c r="N218" s="14">
        <v>0.16</v>
      </c>
      <c r="O218" s="13">
        <v>4.92</v>
      </c>
      <c r="P218" s="11">
        <v>0.0</v>
      </c>
      <c r="Q218" s="11">
        <v>0.0</v>
      </c>
      <c r="R218" s="21">
        <f t="shared" si="20"/>
        <v>10</v>
      </c>
      <c r="S218" s="15">
        <v>0.1053</v>
      </c>
      <c r="T218" s="11">
        <v>42.55</v>
      </c>
      <c r="U218" s="22">
        <f t="shared" si="21"/>
        <v>54.52</v>
      </c>
      <c r="V218" s="4"/>
      <c r="W218" s="4">
        <f t="shared" si="4"/>
        <v>52.81</v>
      </c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18"/>
      <c r="B219" s="18"/>
      <c r="C219" s="18"/>
      <c r="D219" s="18"/>
      <c r="E219" s="18"/>
      <c r="F219" s="11" t="s">
        <v>24</v>
      </c>
      <c r="G219" s="12">
        <f t="shared" si="61"/>
        <v>1.71</v>
      </c>
      <c r="H219" s="13">
        <v>60.0</v>
      </c>
      <c r="I219" s="13">
        <v>4.89</v>
      </c>
      <c r="J219" s="13">
        <v>99.0</v>
      </c>
      <c r="K219" s="13">
        <v>2.07</v>
      </c>
      <c r="L219" s="11">
        <v>8.0</v>
      </c>
      <c r="M219" s="11">
        <v>0.0</v>
      </c>
      <c r="N219" s="14">
        <v>0.0</v>
      </c>
      <c r="O219" s="13">
        <v>4.92</v>
      </c>
      <c r="P219" s="11">
        <v>0.0</v>
      </c>
      <c r="Q219" s="11">
        <v>0.0</v>
      </c>
      <c r="R219" s="21">
        <f t="shared" si="20"/>
        <v>8</v>
      </c>
      <c r="S219" s="15">
        <v>0.0842</v>
      </c>
      <c r="T219" s="11">
        <v>31.08</v>
      </c>
      <c r="U219" s="22">
        <f t="shared" si="21"/>
        <v>42.96</v>
      </c>
      <c r="V219" s="4"/>
      <c r="W219" s="4">
        <f t="shared" si="4"/>
        <v>41.25</v>
      </c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19"/>
      <c r="B220" s="19"/>
      <c r="C220" s="19"/>
      <c r="D220" s="19"/>
      <c r="E220" s="19"/>
      <c r="F220" s="11" t="s">
        <v>25</v>
      </c>
      <c r="G220" s="12">
        <f t="shared" si="61"/>
        <v>1.71</v>
      </c>
      <c r="H220" s="13">
        <v>60.0</v>
      </c>
      <c r="I220" s="13">
        <v>4.89</v>
      </c>
      <c r="J220" s="13">
        <v>99.0</v>
      </c>
      <c r="K220" s="13">
        <v>2.07</v>
      </c>
      <c r="L220" s="11">
        <v>18.0</v>
      </c>
      <c r="M220" s="11">
        <v>0.26</v>
      </c>
      <c r="N220" s="14">
        <v>0.25</v>
      </c>
      <c r="O220" s="13">
        <v>4.92</v>
      </c>
      <c r="P220" s="11">
        <v>0.0</v>
      </c>
      <c r="Q220" s="11">
        <v>0.0</v>
      </c>
      <c r="R220" s="11">
        <f t="shared" si="20"/>
        <v>18</v>
      </c>
      <c r="S220" s="15">
        <v>0.1895</v>
      </c>
      <c r="T220" s="11">
        <v>76.69</v>
      </c>
      <c r="U220" s="22">
        <f t="shared" si="21"/>
        <v>88.83</v>
      </c>
      <c r="V220" s="4"/>
      <c r="W220" s="4">
        <f t="shared" si="4"/>
        <v>87.12</v>
      </c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9">
        <v>23.0</v>
      </c>
      <c r="B221" s="9" t="s">
        <v>48</v>
      </c>
      <c r="C221" s="23" t="s">
        <v>41</v>
      </c>
      <c r="D221" s="9" t="s">
        <v>43</v>
      </c>
      <c r="E221" s="10">
        <v>88.7</v>
      </c>
      <c r="F221" s="11" t="s">
        <v>22</v>
      </c>
      <c r="G221" s="12">
        <f t="shared" ref="G221:G224" si="62">1.25+0.28</f>
        <v>1.53</v>
      </c>
      <c r="H221" s="13">
        <v>50.0</v>
      </c>
      <c r="I221" s="13">
        <v>4.75</v>
      </c>
      <c r="J221" s="13">
        <v>89.0</v>
      </c>
      <c r="K221" s="13">
        <v>2.02</v>
      </c>
      <c r="L221" s="11">
        <v>10.0</v>
      </c>
      <c r="M221" s="11">
        <v>0.04</v>
      </c>
      <c r="N221" s="14">
        <v>0.22</v>
      </c>
      <c r="O221" s="13">
        <v>3.95</v>
      </c>
      <c r="P221" s="11">
        <v>0.0</v>
      </c>
      <c r="Q221" s="11">
        <v>0.0</v>
      </c>
      <c r="R221" s="11">
        <f t="shared" si="20"/>
        <v>10</v>
      </c>
      <c r="S221" s="15">
        <v>0.1127</v>
      </c>
      <c r="T221" s="11">
        <v>42.58</v>
      </c>
      <c r="U221" s="22">
        <f t="shared" si="21"/>
        <v>53.34</v>
      </c>
      <c r="V221" s="4"/>
      <c r="W221" s="4">
        <f t="shared" si="4"/>
        <v>51.81</v>
      </c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18"/>
      <c r="B222" s="18"/>
      <c r="C222" s="18"/>
      <c r="D222" s="18"/>
      <c r="E222" s="18"/>
      <c r="F222" s="11" t="s">
        <v>23</v>
      </c>
      <c r="G222" s="12">
        <f t="shared" si="62"/>
        <v>1.53</v>
      </c>
      <c r="H222" s="13">
        <v>50.0</v>
      </c>
      <c r="I222" s="13">
        <v>4.75</v>
      </c>
      <c r="J222" s="13">
        <v>89.0</v>
      </c>
      <c r="K222" s="13">
        <v>2.02</v>
      </c>
      <c r="L222" s="11">
        <v>10.0</v>
      </c>
      <c r="M222" s="11">
        <v>0.08</v>
      </c>
      <c r="N222" s="14">
        <v>0.22</v>
      </c>
      <c r="O222" s="13">
        <v>3.95</v>
      </c>
      <c r="P222" s="11">
        <v>0.0</v>
      </c>
      <c r="Q222" s="11">
        <v>0.0</v>
      </c>
      <c r="R222" s="21">
        <f t="shared" si="20"/>
        <v>10</v>
      </c>
      <c r="S222" s="15">
        <v>0.1127</v>
      </c>
      <c r="T222" s="11">
        <v>42.14</v>
      </c>
      <c r="U222" s="22">
        <f t="shared" si="21"/>
        <v>52.94</v>
      </c>
      <c r="V222" s="4"/>
      <c r="W222" s="4">
        <f t="shared" si="4"/>
        <v>51.41</v>
      </c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18"/>
      <c r="B223" s="18"/>
      <c r="C223" s="18"/>
      <c r="D223" s="18"/>
      <c r="E223" s="18"/>
      <c r="F223" s="11" t="s">
        <v>24</v>
      </c>
      <c r="G223" s="12">
        <f t="shared" si="62"/>
        <v>1.53</v>
      </c>
      <c r="H223" s="13">
        <v>50.0</v>
      </c>
      <c r="I223" s="13">
        <v>4.75</v>
      </c>
      <c r="J223" s="13">
        <v>89.0</v>
      </c>
      <c r="K223" s="13">
        <v>2.02</v>
      </c>
      <c r="L223" s="11">
        <v>1.0</v>
      </c>
      <c r="M223" s="11">
        <v>0.0</v>
      </c>
      <c r="N223" s="14">
        <v>0.0</v>
      </c>
      <c r="O223" s="13">
        <v>3.95</v>
      </c>
      <c r="P223" s="11">
        <v>0.0</v>
      </c>
      <c r="Q223" s="11">
        <v>0.0</v>
      </c>
      <c r="R223" s="21">
        <f t="shared" si="20"/>
        <v>1</v>
      </c>
      <c r="S223" s="15">
        <v>0.0113</v>
      </c>
      <c r="T223" s="11">
        <v>3.81</v>
      </c>
      <c r="U223" s="22">
        <f t="shared" si="21"/>
        <v>14.53</v>
      </c>
      <c r="V223" s="4"/>
      <c r="W223" s="4">
        <f t="shared" si="4"/>
        <v>13</v>
      </c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19"/>
      <c r="B224" s="19"/>
      <c r="C224" s="19"/>
      <c r="D224" s="19"/>
      <c r="E224" s="19"/>
      <c r="F224" s="11" t="s">
        <v>25</v>
      </c>
      <c r="G224" s="12">
        <f t="shared" si="62"/>
        <v>1.53</v>
      </c>
      <c r="H224" s="13">
        <v>50.0</v>
      </c>
      <c r="I224" s="13">
        <v>4.75</v>
      </c>
      <c r="J224" s="13">
        <v>89.0</v>
      </c>
      <c r="K224" s="13">
        <v>2.02</v>
      </c>
      <c r="L224" s="11">
        <v>11.0</v>
      </c>
      <c r="M224" s="11">
        <v>0.18</v>
      </c>
      <c r="N224" s="14">
        <v>0.26</v>
      </c>
      <c r="O224" s="13">
        <v>3.95</v>
      </c>
      <c r="P224" s="11">
        <v>0.0</v>
      </c>
      <c r="Q224" s="11">
        <v>0.0</v>
      </c>
      <c r="R224" s="11">
        <f t="shared" si="20"/>
        <v>11</v>
      </c>
      <c r="S224" s="15">
        <v>0.124</v>
      </c>
      <c r="T224" s="11">
        <v>46.59</v>
      </c>
      <c r="U224" s="22">
        <f t="shared" si="21"/>
        <v>57.49</v>
      </c>
      <c r="V224" s="4"/>
      <c r="W224" s="4">
        <f t="shared" si="4"/>
        <v>55.96</v>
      </c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9">
        <v>41.0</v>
      </c>
      <c r="B225" s="9" t="s">
        <v>48</v>
      </c>
      <c r="C225" s="23" t="s">
        <v>41</v>
      </c>
      <c r="D225" s="9" t="s">
        <v>44</v>
      </c>
      <c r="E225" s="10">
        <v>71.0</v>
      </c>
      <c r="F225" s="11" t="s">
        <v>22</v>
      </c>
      <c r="G225" s="12">
        <f t="shared" ref="G225:G228" si="63">2.93+0.86</f>
        <v>3.79</v>
      </c>
      <c r="H225" s="13">
        <v>35.0</v>
      </c>
      <c r="I225" s="13">
        <v>14.61</v>
      </c>
      <c r="J225" s="13">
        <v>74.0</v>
      </c>
      <c r="K225" s="13">
        <v>1.68</v>
      </c>
      <c r="L225" s="11">
        <v>8.0</v>
      </c>
      <c r="M225" s="11">
        <v>0.03</v>
      </c>
      <c r="N225" s="14">
        <v>0.26</v>
      </c>
      <c r="O225" s="13">
        <v>6.78</v>
      </c>
      <c r="P225" s="11">
        <v>0.0</v>
      </c>
      <c r="Q225" s="11">
        <v>0.0</v>
      </c>
      <c r="R225" s="11">
        <f t="shared" si="20"/>
        <v>8</v>
      </c>
      <c r="S225" s="15">
        <v>0.1127</v>
      </c>
      <c r="T225" s="11">
        <v>33.74</v>
      </c>
      <c r="U225" s="22">
        <f t="shared" si="21"/>
        <v>56.84</v>
      </c>
      <c r="V225" s="4"/>
      <c r="W225" s="4">
        <f t="shared" si="4"/>
        <v>53.05</v>
      </c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18"/>
      <c r="B226" s="18"/>
      <c r="C226" s="18"/>
      <c r="D226" s="18"/>
      <c r="E226" s="18"/>
      <c r="F226" s="11" t="s">
        <v>23</v>
      </c>
      <c r="G226" s="12">
        <f t="shared" si="63"/>
        <v>3.79</v>
      </c>
      <c r="H226" s="13">
        <v>35.0</v>
      </c>
      <c r="I226" s="13">
        <v>14.61</v>
      </c>
      <c r="J226" s="13">
        <v>74.0</v>
      </c>
      <c r="K226" s="13">
        <v>1.68</v>
      </c>
      <c r="L226" s="11">
        <v>8.0</v>
      </c>
      <c r="M226" s="11">
        <v>0.06</v>
      </c>
      <c r="N226" s="14">
        <v>0.23</v>
      </c>
      <c r="O226" s="13">
        <v>6.78</v>
      </c>
      <c r="P226" s="11">
        <v>0.0</v>
      </c>
      <c r="Q226" s="11">
        <v>0.0</v>
      </c>
      <c r="R226" s="21">
        <f t="shared" si="20"/>
        <v>8</v>
      </c>
      <c r="S226" s="15">
        <v>0.1127</v>
      </c>
      <c r="T226" s="11">
        <v>33.2</v>
      </c>
      <c r="U226" s="22">
        <f t="shared" si="21"/>
        <v>56.33</v>
      </c>
      <c r="V226" s="4"/>
      <c r="W226" s="4">
        <f t="shared" si="4"/>
        <v>52.54</v>
      </c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18"/>
      <c r="B227" s="18"/>
      <c r="C227" s="18"/>
      <c r="D227" s="18"/>
      <c r="E227" s="18"/>
      <c r="F227" s="11" t="s">
        <v>24</v>
      </c>
      <c r="G227" s="12">
        <f t="shared" si="63"/>
        <v>3.79</v>
      </c>
      <c r="H227" s="13">
        <v>35.0</v>
      </c>
      <c r="I227" s="13">
        <v>14.61</v>
      </c>
      <c r="J227" s="13">
        <v>74.0</v>
      </c>
      <c r="K227" s="13">
        <v>1.68</v>
      </c>
      <c r="L227" s="11">
        <v>7.0</v>
      </c>
      <c r="M227" s="11">
        <v>0.0</v>
      </c>
      <c r="N227" s="14">
        <v>0.0</v>
      </c>
      <c r="O227" s="13">
        <v>6.78</v>
      </c>
      <c r="P227" s="11">
        <v>0.0</v>
      </c>
      <c r="Q227" s="11">
        <v>0.0</v>
      </c>
      <c r="R227" s="21">
        <f t="shared" si="20"/>
        <v>7</v>
      </c>
      <c r="S227" s="15">
        <v>0.0986</v>
      </c>
      <c r="T227" s="11">
        <v>26.22</v>
      </c>
      <c r="U227" s="22">
        <f t="shared" si="21"/>
        <v>49.29</v>
      </c>
      <c r="V227" s="4"/>
      <c r="W227" s="4">
        <f t="shared" si="4"/>
        <v>45.5</v>
      </c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19"/>
      <c r="B228" s="19"/>
      <c r="C228" s="19"/>
      <c r="D228" s="19"/>
      <c r="E228" s="19"/>
      <c r="F228" s="11" t="s">
        <v>25</v>
      </c>
      <c r="G228" s="12">
        <f t="shared" si="63"/>
        <v>3.79</v>
      </c>
      <c r="H228" s="13">
        <v>35.0</v>
      </c>
      <c r="I228" s="13">
        <v>14.61</v>
      </c>
      <c r="J228" s="13">
        <v>74.0</v>
      </c>
      <c r="K228" s="13">
        <v>1.68</v>
      </c>
      <c r="L228" s="11">
        <v>10.0</v>
      </c>
      <c r="M228" s="11">
        <v>0.17</v>
      </c>
      <c r="N228" s="14">
        <v>0.21</v>
      </c>
      <c r="O228" s="13">
        <v>6.78</v>
      </c>
      <c r="P228" s="11">
        <v>0.0</v>
      </c>
      <c r="Q228" s="11">
        <v>0.0</v>
      </c>
      <c r="R228" s="11">
        <f t="shared" si="20"/>
        <v>10</v>
      </c>
      <c r="S228" s="15">
        <v>0.1408</v>
      </c>
      <c r="T228" s="11">
        <v>41.54</v>
      </c>
      <c r="U228" s="22">
        <f t="shared" si="21"/>
        <v>64.78</v>
      </c>
      <c r="V228" s="4"/>
      <c r="W228" s="4">
        <f t="shared" si="4"/>
        <v>60.99</v>
      </c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9">
        <v>42.0</v>
      </c>
      <c r="B229" s="9" t="s">
        <v>48</v>
      </c>
      <c r="C229" s="23" t="s">
        <v>41</v>
      </c>
      <c r="D229" s="9" t="s">
        <v>44</v>
      </c>
      <c r="E229" s="10">
        <v>110.9</v>
      </c>
      <c r="F229" s="11" t="s">
        <v>22</v>
      </c>
      <c r="G229" s="12">
        <f t="shared" ref="G229:G232" si="64">1.09+0.31</f>
        <v>1.4</v>
      </c>
      <c r="H229" s="13">
        <v>62.0</v>
      </c>
      <c r="I229" s="13">
        <v>5.06</v>
      </c>
      <c r="J229" s="13">
        <v>111.0</v>
      </c>
      <c r="K229" s="13">
        <v>2.41</v>
      </c>
      <c r="L229" s="11">
        <v>4.0</v>
      </c>
      <c r="M229" s="11">
        <v>0.05</v>
      </c>
      <c r="N229" s="14">
        <v>0.08</v>
      </c>
      <c r="O229" s="13">
        <v>3.13</v>
      </c>
      <c r="P229" s="11">
        <v>2.0</v>
      </c>
      <c r="Q229" s="11">
        <v>0.07</v>
      </c>
      <c r="R229" s="11">
        <f t="shared" si="20"/>
        <v>6</v>
      </c>
      <c r="S229" s="15">
        <v>0.0541</v>
      </c>
      <c r="T229" s="11">
        <v>25.17</v>
      </c>
      <c r="U229" s="22">
        <f t="shared" si="21"/>
        <v>35.82</v>
      </c>
      <c r="V229" s="4"/>
      <c r="W229" s="4">
        <f t="shared" si="4"/>
        <v>34.42</v>
      </c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18"/>
      <c r="B230" s="18"/>
      <c r="C230" s="18"/>
      <c r="D230" s="18"/>
      <c r="E230" s="18"/>
      <c r="F230" s="11" t="s">
        <v>23</v>
      </c>
      <c r="G230" s="12">
        <f t="shared" si="64"/>
        <v>1.4</v>
      </c>
      <c r="H230" s="13">
        <v>62.0</v>
      </c>
      <c r="I230" s="13">
        <v>5.06</v>
      </c>
      <c r="J230" s="13">
        <v>111.0</v>
      </c>
      <c r="K230" s="13">
        <v>2.41</v>
      </c>
      <c r="L230" s="11">
        <v>4.0</v>
      </c>
      <c r="M230" s="11">
        <v>0.09</v>
      </c>
      <c r="N230" s="14">
        <v>0.08</v>
      </c>
      <c r="O230" s="13">
        <v>3.13</v>
      </c>
      <c r="P230" s="11">
        <v>2.0</v>
      </c>
      <c r="Q230" s="11">
        <v>0.06</v>
      </c>
      <c r="R230" s="21">
        <f t="shared" si="20"/>
        <v>6</v>
      </c>
      <c r="S230" s="15">
        <v>0.0541</v>
      </c>
      <c r="T230" s="11">
        <v>25.02</v>
      </c>
      <c r="U230" s="22">
        <f t="shared" si="21"/>
        <v>35.71</v>
      </c>
      <c r="V230" s="4"/>
      <c r="W230" s="4">
        <f t="shared" si="4"/>
        <v>34.31</v>
      </c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18"/>
      <c r="B231" s="18"/>
      <c r="C231" s="18"/>
      <c r="D231" s="18"/>
      <c r="E231" s="18"/>
      <c r="F231" s="11" t="s">
        <v>24</v>
      </c>
      <c r="G231" s="12">
        <f t="shared" si="64"/>
        <v>1.4</v>
      </c>
      <c r="H231" s="13">
        <v>62.0</v>
      </c>
      <c r="I231" s="13">
        <v>5.06</v>
      </c>
      <c r="J231" s="13">
        <v>111.0</v>
      </c>
      <c r="K231" s="13">
        <v>2.41</v>
      </c>
      <c r="L231" s="11">
        <v>1.0</v>
      </c>
      <c r="M231" s="11">
        <v>0.0</v>
      </c>
      <c r="N231" s="14">
        <v>0.0</v>
      </c>
      <c r="O231" s="13">
        <v>3.13</v>
      </c>
      <c r="P231" s="11">
        <v>0.0</v>
      </c>
      <c r="Q231" s="11">
        <v>0.0</v>
      </c>
      <c r="R231" s="21">
        <f t="shared" si="20"/>
        <v>1</v>
      </c>
      <c r="S231" s="15">
        <v>0.009</v>
      </c>
      <c r="T231" s="11">
        <v>3.84</v>
      </c>
      <c r="U231" s="22">
        <f t="shared" si="21"/>
        <v>14.44</v>
      </c>
      <c r="V231" s="4"/>
      <c r="W231" s="4">
        <f t="shared" si="4"/>
        <v>13.04</v>
      </c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19"/>
      <c r="B232" s="19"/>
      <c r="C232" s="19"/>
      <c r="D232" s="19"/>
      <c r="E232" s="19"/>
      <c r="F232" s="11" t="s">
        <v>25</v>
      </c>
      <c r="G232" s="12">
        <f t="shared" si="64"/>
        <v>1.4</v>
      </c>
      <c r="H232" s="13">
        <v>62.0</v>
      </c>
      <c r="I232" s="13">
        <v>5.06</v>
      </c>
      <c r="J232" s="13">
        <v>111.0</v>
      </c>
      <c r="K232" s="13">
        <v>2.41</v>
      </c>
      <c r="L232" s="11">
        <v>7.0</v>
      </c>
      <c r="M232" s="11">
        <v>0.15</v>
      </c>
      <c r="N232" s="14">
        <v>0.11</v>
      </c>
      <c r="O232" s="13">
        <v>3.13</v>
      </c>
      <c r="P232" s="11">
        <v>1.0</v>
      </c>
      <c r="Q232" s="11">
        <v>0.02</v>
      </c>
      <c r="R232" s="11">
        <f t="shared" si="20"/>
        <v>8</v>
      </c>
      <c r="S232" s="15">
        <v>0.0721</v>
      </c>
      <c r="T232" s="11">
        <v>33.4</v>
      </c>
      <c r="U232" s="22">
        <f t="shared" si="21"/>
        <v>44.15</v>
      </c>
      <c r="V232" s="4"/>
      <c r="W232" s="4">
        <f t="shared" si="4"/>
        <v>42.75</v>
      </c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9">
        <v>43.0</v>
      </c>
      <c r="B233" s="9" t="s">
        <v>48</v>
      </c>
      <c r="C233" s="23" t="s">
        <v>41</v>
      </c>
      <c r="D233" s="9" t="s">
        <v>44</v>
      </c>
      <c r="E233" s="10">
        <v>113.0</v>
      </c>
      <c r="F233" s="11" t="s">
        <v>22</v>
      </c>
      <c r="G233" s="12">
        <f t="shared" ref="G233:G236" si="65">1.02+0.31</f>
        <v>1.33</v>
      </c>
      <c r="H233" s="13">
        <v>62.0</v>
      </c>
      <c r="I233" s="13">
        <v>5.03</v>
      </c>
      <c r="J233" s="13">
        <v>118.0</v>
      </c>
      <c r="K233" s="13">
        <v>2.46</v>
      </c>
      <c r="L233" s="11">
        <v>11.0</v>
      </c>
      <c r="M233" s="11">
        <v>0.05</v>
      </c>
      <c r="N233" s="14">
        <v>0.23</v>
      </c>
      <c r="O233" s="13">
        <v>3.17</v>
      </c>
      <c r="P233" s="11">
        <v>0.0</v>
      </c>
      <c r="Q233" s="11">
        <v>0.0</v>
      </c>
      <c r="R233" s="11">
        <f t="shared" si="20"/>
        <v>11</v>
      </c>
      <c r="S233" s="15">
        <v>0.0973</v>
      </c>
      <c r="T233" s="11">
        <v>45.41</v>
      </c>
      <c r="U233" s="22">
        <f t="shared" si="21"/>
        <v>56.12</v>
      </c>
      <c r="V233" s="4"/>
      <c r="W233" s="4">
        <f t="shared" si="4"/>
        <v>54.79</v>
      </c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18"/>
      <c r="B234" s="18"/>
      <c r="C234" s="18"/>
      <c r="D234" s="18"/>
      <c r="E234" s="18"/>
      <c r="F234" s="11" t="s">
        <v>23</v>
      </c>
      <c r="G234" s="12">
        <f t="shared" si="65"/>
        <v>1.33</v>
      </c>
      <c r="H234" s="13">
        <v>62.0</v>
      </c>
      <c r="I234" s="13">
        <v>5.03</v>
      </c>
      <c r="J234" s="13">
        <v>118.0</v>
      </c>
      <c r="K234" s="13">
        <v>2.46</v>
      </c>
      <c r="L234" s="11">
        <v>11.0</v>
      </c>
      <c r="M234" s="11">
        <v>0.1</v>
      </c>
      <c r="N234" s="14">
        <v>0.23</v>
      </c>
      <c r="O234" s="13">
        <v>3.17</v>
      </c>
      <c r="P234" s="11">
        <v>0.0</v>
      </c>
      <c r="Q234" s="11">
        <v>0.0</v>
      </c>
      <c r="R234" s="21">
        <f t="shared" si="20"/>
        <v>11</v>
      </c>
      <c r="S234" s="15">
        <v>0.0973</v>
      </c>
      <c r="T234" s="11">
        <v>45.43</v>
      </c>
      <c r="U234" s="22">
        <f t="shared" si="21"/>
        <v>56.19</v>
      </c>
      <c r="V234" s="4"/>
      <c r="W234" s="4">
        <f t="shared" si="4"/>
        <v>54.86</v>
      </c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18"/>
      <c r="B235" s="18"/>
      <c r="C235" s="18"/>
      <c r="D235" s="18"/>
      <c r="E235" s="18"/>
      <c r="F235" s="11" t="s">
        <v>24</v>
      </c>
      <c r="G235" s="12">
        <f t="shared" si="65"/>
        <v>1.33</v>
      </c>
      <c r="H235" s="13">
        <v>62.0</v>
      </c>
      <c r="I235" s="13">
        <v>5.03</v>
      </c>
      <c r="J235" s="13">
        <v>118.0</v>
      </c>
      <c r="K235" s="13">
        <v>2.46</v>
      </c>
      <c r="L235" s="11">
        <v>8.0</v>
      </c>
      <c r="M235" s="11">
        <v>0.0</v>
      </c>
      <c r="N235" s="14">
        <v>0.0</v>
      </c>
      <c r="O235" s="13">
        <v>3.17</v>
      </c>
      <c r="P235" s="11">
        <v>0.0</v>
      </c>
      <c r="Q235" s="11">
        <v>0.0</v>
      </c>
      <c r="R235" s="21">
        <f t="shared" si="20"/>
        <v>8</v>
      </c>
      <c r="S235" s="15">
        <v>0.0708</v>
      </c>
      <c r="T235" s="11">
        <v>30.12</v>
      </c>
      <c r="U235" s="22">
        <f t="shared" si="21"/>
        <v>40.78</v>
      </c>
      <c r="V235" s="4"/>
      <c r="W235" s="4">
        <f t="shared" si="4"/>
        <v>39.45</v>
      </c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19"/>
      <c r="B236" s="19"/>
      <c r="C236" s="19"/>
      <c r="D236" s="19"/>
      <c r="E236" s="19"/>
      <c r="F236" s="11" t="s">
        <v>25</v>
      </c>
      <c r="G236" s="12">
        <f t="shared" si="65"/>
        <v>1.33</v>
      </c>
      <c r="H236" s="13">
        <v>62.0</v>
      </c>
      <c r="I236" s="13">
        <v>5.03</v>
      </c>
      <c r="J236" s="13">
        <v>118.0</v>
      </c>
      <c r="K236" s="13">
        <v>2.46</v>
      </c>
      <c r="L236" s="11">
        <v>11.0</v>
      </c>
      <c r="M236" s="11">
        <v>0.2</v>
      </c>
      <c r="N236" s="14">
        <v>0.29</v>
      </c>
      <c r="O236" s="13">
        <v>3.17</v>
      </c>
      <c r="P236" s="11">
        <v>1.0</v>
      </c>
      <c r="Q236" s="11">
        <v>0.04</v>
      </c>
      <c r="R236" s="11">
        <f t="shared" si="20"/>
        <v>12</v>
      </c>
      <c r="S236" s="15">
        <v>0.1062</v>
      </c>
      <c r="T236" s="11">
        <v>49.59</v>
      </c>
      <c r="U236" s="22">
        <f t="shared" si="21"/>
        <v>60.45</v>
      </c>
      <c r="V236" s="4"/>
      <c r="W236" s="4">
        <f t="shared" si="4"/>
        <v>59.12</v>
      </c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9">
        <v>81.0</v>
      </c>
      <c r="B237" s="9" t="s">
        <v>48</v>
      </c>
      <c r="C237" s="23" t="s">
        <v>41</v>
      </c>
      <c r="D237" s="9" t="s">
        <v>49</v>
      </c>
      <c r="E237" s="10">
        <v>60.1</v>
      </c>
      <c r="F237" s="11" t="s">
        <v>22</v>
      </c>
      <c r="G237" s="13">
        <f t="shared" ref="G237:G240" si="66">1.37+0.25</f>
        <v>1.62</v>
      </c>
      <c r="H237" s="13">
        <v>24.0</v>
      </c>
      <c r="I237" s="13">
        <v>3.98</v>
      </c>
      <c r="J237" s="13">
        <v>63.0</v>
      </c>
      <c r="K237" s="13">
        <v>1.22</v>
      </c>
      <c r="L237" s="11">
        <v>7.0</v>
      </c>
      <c r="M237" s="11">
        <v>0.03</v>
      </c>
      <c r="N237" s="14">
        <v>0.08</v>
      </c>
      <c r="O237" s="13">
        <v>1.42</v>
      </c>
      <c r="P237" s="11">
        <v>0.0</v>
      </c>
      <c r="Q237" s="11">
        <v>0.0</v>
      </c>
      <c r="R237" s="11">
        <f t="shared" si="20"/>
        <v>7</v>
      </c>
      <c r="S237" s="15">
        <v>0.1165</v>
      </c>
      <c r="T237" s="11">
        <v>29.24</v>
      </c>
      <c r="U237" s="22">
        <f t="shared" si="21"/>
        <v>35.89</v>
      </c>
      <c r="V237" s="4"/>
      <c r="W237" s="4">
        <f t="shared" si="4"/>
        <v>34.27</v>
      </c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18"/>
      <c r="B238" s="18"/>
      <c r="C238" s="18"/>
      <c r="D238" s="18"/>
      <c r="E238" s="18"/>
      <c r="F238" s="11" t="s">
        <v>23</v>
      </c>
      <c r="G238" s="13">
        <f t="shared" si="66"/>
        <v>1.62</v>
      </c>
      <c r="H238" s="13">
        <v>24.0</v>
      </c>
      <c r="I238" s="13">
        <v>3.98</v>
      </c>
      <c r="J238" s="13">
        <v>63.0</v>
      </c>
      <c r="K238" s="13">
        <v>1.22</v>
      </c>
      <c r="L238" s="11">
        <v>7.0</v>
      </c>
      <c r="M238" s="11">
        <v>0.06</v>
      </c>
      <c r="N238" s="14">
        <v>0.08</v>
      </c>
      <c r="O238" s="13">
        <v>1.42</v>
      </c>
      <c r="P238" s="11">
        <v>0.0</v>
      </c>
      <c r="Q238" s="11">
        <v>0.0</v>
      </c>
      <c r="R238" s="21">
        <f t="shared" si="20"/>
        <v>7</v>
      </c>
      <c r="S238" s="15">
        <v>0.1165</v>
      </c>
      <c r="T238" s="11">
        <v>29.13</v>
      </c>
      <c r="U238" s="22">
        <f t="shared" si="21"/>
        <v>35.81</v>
      </c>
      <c r="V238" s="4"/>
      <c r="W238" s="4">
        <f t="shared" si="4"/>
        <v>34.19</v>
      </c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18"/>
      <c r="B239" s="18"/>
      <c r="C239" s="18"/>
      <c r="D239" s="18"/>
      <c r="E239" s="18"/>
      <c r="F239" s="11" t="s">
        <v>24</v>
      </c>
      <c r="G239" s="13">
        <f t="shared" si="66"/>
        <v>1.62</v>
      </c>
      <c r="H239" s="13">
        <v>24.0</v>
      </c>
      <c r="I239" s="13">
        <v>3.98</v>
      </c>
      <c r="J239" s="13">
        <v>63.0</v>
      </c>
      <c r="K239" s="13">
        <v>1.22</v>
      </c>
      <c r="L239" s="11">
        <v>0.0</v>
      </c>
      <c r="M239" s="11">
        <v>0.0</v>
      </c>
      <c r="N239" s="14">
        <v>0.0</v>
      </c>
      <c r="O239" s="13">
        <v>1.42</v>
      </c>
      <c r="P239" s="11">
        <v>0.0</v>
      </c>
      <c r="Q239" s="11">
        <v>0.0</v>
      </c>
      <c r="R239" s="21">
        <f t="shared" si="20"/>
        <v>0</v>
      </c>
      <c r="S239" s="15">
        <v>0.0</v>
      </c>
      <c r="T239" s="11">
        <v>0.0</v>
      </c>
      <c r="U239" s="22">
        <f t="shared" si="21"/>
        <v>6.62</v>
      </c>
      <c r="V239" s="4"/>
      <c r="W239" s="4">
        <f t="shared" si="4"/>
        <v>5</v>
      </c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19"/>
      <c r="B240" s="19"/>
      <c r="C240" s="19"/>
      <c r="D240" s="19"/>
      <c r="E240" s="19"/>
      <c r="F240" s="11" t="s">
        <v>25</v>
      </c>
      <c r="G240" s="13">
        <f t="shared" si="66"/>
        <v>1.62</v>
      </c>
      <c r="H240" s="13">
        <v>24.0</v>
      </c>
      <c r="I240" s="13">
        <v>3.98</v>
      </c>
      <c r="J240" s="13">
        <v>63.0</v>
      </c>
      <c r="K240" s="13">
        <v>1.22</v>
      </c>
      <c r="L240" s="11">
        <v>8.0</v>
      </c>
      <c r="M240" s="11">
        <v>0.08</v>
      </c>
      <c r="N240" s="14">
        <v>0.08</v>
      </c>
      <c r="O240" s="13">
        <v>1.42</v>
      </c>
      <c r="P240" s="11">
        <v>0.0</v>
      </c>
      <c r="Q240" s="11">
        <v>0.0</v>
      </c>
      <c r="R240" s="11">
        <f t="shared" si="20"/>
        <v>8</v>
      </c>
      <c r="S240" s="15">
        <v>0.1331</v>
      </c>
      <c r="T240" s="11">
        <v>33.29</v>
      </c>
      <c r="U240" s="22">
        <f t="shared" si="21"/>
        <v>39.99</v>
      </c>
      <c r="V240" s="4"/>
      <c r="W240" s="4">
        <f t="shared" si="4"/>
        <v>38.37</v>
      </c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9">
        <v>82.0</v>
      </c>
      <c r="B241" s="9" t="s">
        <v>48</v>
      </c>
      <c r="C241" s="23" t="s">
        <v>41</v>
      </c>
      <c r="D241" s="9" t="s">
        <v>49</v>
      </c>
      <c r="E241" s="10">
        <v>17.5</v>
      </c>
      <c r="F241" s="11" t="s">
        <v>22</v>
      </c>
      <c r="G241" s="12">
        <f t="shared" ref="G241:G244" si="67">1.45+0.13</f>
        <v>1.58</v>
      </c>
      <c r="H241" s="13">
        <v>18.0</v>
      </c>
      <c r="I241" s="13">
        <v>3.68</v>
      </c>
      <c r="J241" s="13">
        <v>18.0</v>
      </c>
      <c r="K241" s="13">
        <v>0.37</v>
      </c>
      <c r="L241" s="11">
        <v>1.0</v>
      </c>
      <c r="M241" s="11">
        <v>0.01</v>
      </c>
      <c r="N241" s="14">
        <v>0.03</v>
      </c>
      <c r="O241" s="13">
        <v>1.57</v>
      </c>
      <c r="P241" s="11">
        <v>0.0</v>
      </c>
      <c r="Q241" s="11">
        <v>0.0</v>
      </c>
      <c r="R241" s="11">
        <f t="shared" si="20"/>
        <v>1</v>
      </c>
      <c r="S241" s="15">
        <v>0.0571</v>
      </c>
      <c r="T241" s="11">
        <v>4.21</v>
      </c>
      <c r="U241" s="22">
        <f t="shared" si="21"/>
        <v>9.84</v>
      </c>
      <c r="V241" s="4"/>
      <c r="W241" s="4">
        <f t="shared" si="4"/>
        <v>8.26</v>
      </c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18"/>
      <c r="B242" s="18"/>
      <c r="C242" s="18"/>
      <c r="D242" s="18"/>
      <c r="E242" s="18"/>
      <c r="F242" s="11" t="s">
        <v>23</v>
      </c>
      <c r="G242" s="12">
        <f t="shared" si="67"/>
        <v>1.58</v>
      </c>
      <c r="H242" s="13">
        <v>18.0</v>
      </c>
      <c r="I242" s="13">
        <v>3.68</v>
      </c>
      <c r="J242" s="13">
        <v>18.0</v>
      </c>
      <c r="K242" s="13">
        <v>0.37</v>
      </c>
      <c r="L242" s="11">
        <v>1.0</v>
      </c>
      <c r="M242" s="11">
        <v>0.02</v>
      </c>
      <c r="N242" s="14">
        <v>0.03</v>
      </c>
      <c r="O242" s="13">
        <v>1.57</v>
      </c>
      <c r="P242" s="11">
        <v>0.0</v>
      </c>
      <c r="Q242" s="11">
        <v>0.0</v>
      </c>
      <c r="R242" s="21">
        <f t="shared" si="20"/>
        <v>1</v>
      </c>
      <c r="S242" s="15">
        <v>0.0571</v>
      </c>
      <c r="T242" s="11">
        <v>4.2</v>
      </c>
      <c r="U242" s="22">
        <f t="shared" si="21"/>
        <v>9.84</v>
      </c>
      <c r="V242" s="4"/>
      <c r="W242" s="4">
        <f t="shared" si="4"/>
        <v>8.26</v>
      </c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18"/>
      <c r="B243" s="18"/>
      <c r="C243" s="18"/>
      <c r="D243" s="18"/>
      <c r="E243" s="18"/>
      <c r="F243" s="11" t="s">
        <v>24</v>
      </c>
      <c r="G243" s="12">
        <f t="shared" si="67"/>
        <v>1.58</v>
      </c>
      <c r="H243" s="13">
        <v>18.0</v>
      </c>
      <c r="I243" s="13">
        <v>3.68</v>
      </c>
      <c r="J243" s="13">
        <v>18.0</v>
      </c>
      <c r="K243" s="13">
        <v>0.37</v>
      </c>
      <c r="L243" s="11">
        <v>1.0</v>
      </c>
      <c r="M243" s="11">
        <v>0.0</v>
      </c>
      <c r="N243" s="14">
        <v>0.0</v>
      </c>
      <c r="O243" s="13">
        <v>1.57</v>
      </c>
      <c r="P243" s="11">
        <v>0.0</v>
      </c>
      <c r="Q243" s="11">
        <v>0.0</v>
      </c>
      <c r="R243" s="21">
        <f t="shared" si="20"/>
        <v>1</v>
      </c>
      <c r="S243" s="15">
        <v>0.0571</v>
      </c>
      <c r="T243" s="11">
        <v>3.83</v>
      </c>
      <c r="U243" s="22">
        <f t="shared" si="21"/>
        <v>9.45</v>
      </c>
      <c r="V243" s="4"/>
      <c r="W243" s="4">
        <f t="shared" si="4"/>
        <v>7.87</v>
      </c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19"/>
      <c r="B244" s="19"/>
      <c r="C244" s="19"/>
      <c r="D244" s="19"/>
      <c r="E244" s="19"/>
      <c r="F244" s="11" t="s">
        <v>25</v>
      </c>
      <c r="G244" s="12">
        <f t="shared" si="67"/>
        <v>1.58</v>
      </c>
      <c r="H244" s="13">
        <v>18.0</v>
      </c>
      <c r="I244" s="13">
        <v>3.68</v>
      </c>
      <c r="J244" s="13">
        <v>18.0</v>
      </c>
      <c r="K244" s="13">
        <v>0.37</v>
      </c>
      <c r="L244" s="11">
        <v>2.0</v>
      </c>
      <c r="M244" s="11">
        <v>0.01</v>
      </c>
      <c r="N244" s="14">
        <v>0.02</v>
      </c>
      <c r="O244" s="13">
        <v>1.57</v>
      </c>
      <c r="P244" s="11">
        <v>0.0</v>
      </c>
      <c r="Q244" s="11">
        <v>0.0</v>
      </c>
      <c r="R244" s="11">
        <f t="shared" si="20"/>
        <v>2</v>
      </c>
      <c r="S244" s="15">
        <v>0.1143</v>
      </c>
      <c r="T244" s="11">
        <v>8.36</v>
      </c>
      <c r="U244" s="22">
        <f t="shared" si="21"/>
        <v>13.99</v>
      </c>
      <c r="V244" s="4"/>
      <c r="W244" s="4">
        <f t="shared" si="4"/>
        <v>12.41</v>
      </c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9">
        <v>85.0</v>
      </c>
      <c r="B245" s="9" t="s">
        <v>48</v>
      </c>
      <c r="C245" s="23" t="s">
        <v>41</v>
      </c>
      <c r="D245" s="9" t="s">
        <v>49</v>
      </c>
      <c r="E245" s="10">
        <v>88.8</v>
      </c>
      <c r="F245" s="11" t="s">
        <v>22</v>
      </c>
      <c r="G245" s="12">
        <f t="shared" ref="G245:G248" si="68">2.12+0.74</f>
        <v>2.86</v>
      </c>
      <c r="H245" s="13">
        <v>50.0</v>
      </c>
      <c r="I245" s="13">
        <v>14.37</v>
      </c>
      <c r="J245" s="13">
        <v>89.0</v>
      </c>
      <c r="K245" s="13">
        <v>1.95</v>
      </c>
      <c r="L245" s="11">
        <v>12.0</v>
      </c>
      <c r="M245" s="11">
        <v>0.04</v>
      </c>
      <c r="N245" s="14">
        <v>0.16</v>
      </c>
      <c r="O245" s="13">
        <v>7.37</v>
      </c>
      <c r="P245" s="11">
        <v>0.0</v>
      </c>
      <c r="Q245" s="11">
        <v>0.0</v>
      </c>
      <c r="R245" s="11">
        <f t="shared" si="20"/>
        <v>12</v>
      </c>
      <c r="S245" s="15">
        <v>0.1351</v>
      </c>
      <c r="T245" s="11">
        <v>50.42</v>
      </c>
      <c r="U245" s="22">
        <f t="shared" si="21"/>
        <v>74.15</v>
      </c>
      <c r="V245" s="4"/>
      <c r="W245" s="4">
        <f t="shared" si="4"/>
        <v>71.29</v>
      </c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18"/>
      <c r="B246" s="18"/>
      <c r="C246" s="18"/>
      <c r="D246" s="18"/>
      <c r="E246" s="18"/>
      <c r="F246" s="11" t="s">
        <v>23</v>
      </c>
      <c r="G246" s="12">
        <f t="shared" si="68"/>
        <v>2.86</v>
      </c>
      <c r="H246" s="13">
        <v>50.0</v>
      </c>
      <c r="I246" s="13">
        <v>14.37</v>
      </c>
      <c r="J246" s="13">
        <v>89.0</v>
      </c>
      <c r="K246" s="13">
        <v>1.95</v>
      </c>
      <c r="L246" s="11">
        <v>8.0</v>
      </c>
      <c r="M246" s="11">
        <v>0.08</v>
      </c>
      <c r="N246" s="14">
        <v>0.11</v>
      </c>
      <c r="O246" s="13">
        <v>7.37</v>
      </c>
      <c r="P246" s="11">
        <v>0.0</v>
      </c>
      <c r="Q246" s="11">
        <v>0.0</v>
      </c>
      <c r="R246" s="21">
        <f t="shared" si="20"/>
        <v>8</v>
      </c>
      <c r="S246" s="15">
        <v>0.0901</v>
      </c>
      <c r="T246" s="11">
        <v>33.4</v>
      </c>
      <c r="U246" s="22">
        <f t="shared" si="21"/>
        <v>57.17</v>
      </c>
      <c r="V246" s="4"/>
      <c r="W246" s="4">
        <f t="shared" si="4"/>
        <v>54.31</v>
      </c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18"/>
      <c r="B247" s="18"/>
      <c r="C247" s="18"/>
      <c r="D247" s="18"/>
      <c r="E247" s="18"/>
      <c r="F247" s="11" t="s">
        <v>24</v>
      </c>
      <c r="G247" s="12">
        <f t="shared" si="68"/>
        <v>2.86</v>
      </c>
      <c r="H247" s="13">
        <v>50.0</v>
      </c>
      <c r="I247" s="13">
        <v>14.37</v>
      </c>
      <c r="J247" s="13">
        <v>89.0</v>
      </c>
      <c r="K247" s="13">
        <v>1.95</v>
      </c>
      <c r="L247" s="11">
        <v>8.0</v>
      </c>
      <c r="M247" s="11">
        <v>0.0</v>
      </c>
      <c r="N247" s="14">
        <v>0.0</v>
      </c>
      <c r="O247" s="13">
        <v>7.37</v>
      </c>
      <c r="P247" s="11">
        <v>0.0</v>
      </c>
      <c r="Q247" s="11">
        <v>0.0</v>
      </c>
      <c r="R247" s="21">
        <f t="shared" si="20"/>
        <v>8</v>
      </c>
      <c r="S247" s="15">
        <v>0.0901</v>
      </c>
      <c r="T247" s="11">
        <v>30.25</v>
      </c>
      <c r="U247" s="22">
        <f t="shared" si="21"/>
        <v>53.94</v>
      </c>
      <c r="V247" s="4"/>
      <c r="W247" s="4">
        <f t="shared" si="4"/>
        <v>51.08</v>
      </c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19"/>
      <c r="B248" s="19"/>
      <c r="C248" s="19"/>
      <c r="D248" s="19"/>
      <c r="E248" s="19"/>
      <c r="F248" s="11" t="s">
        <v>25</v>
      </c>
      <c r="G248" s="12">
        <f t="shared" si="68"/>
        <v>2.86</v>
      </c>
      <c r="H248" s="13">
        <v>50.0</v>
      </c>
      <c r="I248" s="13">
        <v>14.37</v>
      </c>
      <c r="J248" s="13">
        <v>89.0</v>
      </c>
      <c r="K248" s="13">
        <v>1.95</v>
      </c>
      <c r="L248" s="11">
        <v>11.0</v>
      </c>
      <c r="M248" s="11">
        <v>0.18</v>
      </c>
      <c r="N248" s="14">
        <v>0.11</v>
      </c>
      <c r="O248" s="13">
        <v>7.37</v>
      </c>
      <c r="P248" s="11">
        <v>1.0</v>
      </c>
      <c r="Q248" s="11">
        <v>0.03</v>
      </c>
      <c r="R248" s="11">
        <f t="shared" si="20"/>
        <v>12</v>
      </c>
      <c r="S248" s="15">
        <v>0.1351</v>
      </c>
      <c r="T248" s="11">
        <v>49.97</v>
      </c>
      <c r="U248" s="22">
        <f t="shared" si="21"/>
        <v>73.84</v>
      </c>
      <c r="V248" s="4"/>
      <c r="W248" s="4">
        <f t="shared" si="4"/>
        <v>70.98</v>
      </c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9">
        <v>91.0</v>
      </c>
      <c r="B249" s="9" t="s">
        <v>48</v>
      </c>
      <c r="C249" s="9" t="s">
        <v>30</v>
      </c>
      <c r="D249" s="9" t="s">
        <v>31</v>
      </c>
      <c r="E249" s="10">
        <v>44.4</v>
      </c>
      <c r="F249" s="11" t="s">
        <v>22</v>
      </c>
      <c r="G249" s="12">
        <f t="shared" ref="G249:G252" si="69">1.47+0.21</f>
        <v>1.68</v>
      </c>
      <c r="H249" s="13">
        <v>21.0</v>
      </c>
      <c r="I249" s="13">
        <v>4.39</v>
      </c>
      <c r="J249" s="13">
        <v>46.0</v>
      </c>
      <c r="K249" s="13">
        <v>0.96</v>
      </c>
      <c r="L249" s="11">
        <v>5.0</v>
      </c>
      <c r="M249" s="11">
        <v>0.02</v>
      </c>
      <c r="N249" s="14">
        <v>0.08</v>
      </c>
      <c r="O249" s="13">
        <v>1.46</v>
      </c>
      <c r="P249" s="11">
        <v>0.0</v>
      </c>
      <c r="Q249" s="11">
        <v>0.0</v>
      </c>
      <c r="R249" s="11">
        <f t="shared" si="20"/>
        <v>5</v>
      </c>
      <c r="S249" s="15">
        <v>0.1126</v>
      </c>
      <c r="T249" s="11">
        <v>20.88</v>
      </c>
      <c r="U249" s="22">
        <f t="shared" si="21"/>
        <v>27.71</v>
      </c>
      <c r="V249" s="4"/>
      <c r="W249" s="4">
        <f t="shared" si="4"/>
        <v>26.03</v>
      </c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18"/>
      <c r="B250" s="18"/>
      <c r="C250" s="18"/>
      <c r="D250" s="18"/>
      <c r="E250" s="18"/>
      <c r="F250" s="11" t="s">
        <v>23</v>
      </c>
      <c r="G250" s="12">
        <f t="shared" si="69"/>
        <v>1.68</v>
      </c>
      <c r="H250" s="13">
        <v>21.0</v>
      </c>
      <c r="I250" s="13">
        <v>4.39</v>
      </c>
      <c r="J250" s="13">
        <v>46.0</v>
      </c>
      <c r="K250" s="13">
        <v>0.96</v>
      </c>
      <c r="L250" s="11">
        <v>5.0</v>
      </c>
      <c r="M250" s="11">
        <v>0.04</v>
      </c>
      <c r="N250" s="14">
        <v>0.08</v>
      </c>
      <c r="O250" s="13">
        <v>1.46</v>
      </c>
      <c r="P250" s="11">
        <v>0.0</v>
      </c>
      <c r="Q250" s="11">
        <v>0.0</v>
      </c>
      <c r="R250" s="21">
        <f t="shared" si="20"/>
        <v>5</v>
      </c>
      <c r="S250" s="15">
        <v>0.1126</v>
      </c>
      <c r="T250" s="11">
        <v>20.69</v>
      </c>
      <c r="U250" s="22">
        <f t="shared" si="21"/>
        <v>27.54</v>
      </c>
      <c r="V250" s="4"/>
      <c r="W250" s="4">
        <f t="shared" si="4"/>
        <v>25.86</v>
      </c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18"/>
      <c r="B251" s="18"/>
      <c r="C251" s="18"/>
      <c r="D251" s="18"/>
      <c r="E251" s="18"/>
      <c r="F251" s="11" t="s">
        <v>24</v>
      </c>
      <c r="G251" s="12">
        <f t="shared" si="69"/>
        <v>1.68</v>
      </c>
      <c r="H251" s="13">
        <v>21.0</v>
      </c>
      <c r="I251" s="13">
        <v>4.39</v>
      </c>
      <c r="J251" s="13">
        <v>46.0</v>
      </c>
      <c r="K251" s="13">
        <v>0.96</v>
      </c>
      <c r="L251" s="11">
        <v>0.0</v>
      </c>
      <c r="M251" s="11">
        <v>0.0</v>
      </c>
      <c r="N251" s="14">
        <v>0.0</v>
      </c>
      <c r="O251" s="13">
        <v>1.46</v>
      </c>
      <c r="P251" s="11">
        <v>0.0</v>
      </c>
      <c r="Q251" s="11">
        <v>0.0</v>
      </c>
      <c r="R251" s="21">
        <f t="shared" si="20"/>
        <v>0</v>
      </c>
      <c r="S251" s="15">
        <v>0.0</v>
      </c>
      <c r="T251" s="11">
        <v>0.0</v>
      </c>
      <c r="U251" s="22">
        <f t="shared" si="21"/>
        <v>6.81</v>
      </c>
      <c r="V251" s="4"/>
      <c r="W251" s="4">
        <f t="shared" si="4"/>
        <v>5.13</v>
      </c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19"/>
      <c r="B252" s="19"/>
      <c r="C252" s="19"/>
      <c r="D252" s="19"/>
      <c r="E252" s="19"/>
      <c r="F252" s="11" t="s">
        <v>25</v>
      </c>
      <c r="G252" s="12">
        <f t="shared" si="69"/>
        <v>1.68</v>
      </c>
      <c r="H252" s="13">
        <v>21.0</v>
      </c>
      <c r="I252" s="13">
        <v>4.39</v>
      </c>
      <c r="J252" s="13">
        <v>46.0</v>
      </c>
      <c r="K252" s="13">
        <v>0.96</v>
      </c>
      <c r="L252" s="11">
        <v>6.0</v>
      </c>
      <c r="M252" s="11">
        <v>0.06</v>
      </c>
      <c r="N252" s="14">
        <v>0.06</v>
      </c>
      <c r="O252" s="13">
        <v>1.46</v>
      </c>
      <c r="P252" s="11">
        <v>1.0</v>
      </c>
      <c r="Q252" s="11">
        <v>0.02</v>
      </c>
      <c r="R252" s="11">
        <f t="shared" si="20"/>
        <v>7</v>
      </c>
      <c r="S252" s="15">
        <v>0.1577</v>
      </c>
      <c r="T252" s="11">
        <v>29.34</v>
      </c>
      <c r="U252" s="22">
        <f t="shared" si="21"/>
        <v>36.21</v>
      </c>
      <c r="V252" s="4"/>
      <c r="W252" s="4">
        <f t="shared" si="4"/>
        <v>34.53</v>
      </c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9">
        <v>92.0</v>
      </c>
      <c r="B253" s="9" t="s">
        <v>48</v>
      </c>
      <c r="C253" s="9" t="s">
        <v>30</v>
      </c>
      <c r="D253" s="9" t="s">
        <v>31</v>
      </c>
      <c r="E253" s="10">
        <v>43.6</v>
      </c>
      <c r="F253" s="11" t="s">
        <v>22</v>
      </c>
      <c r="G253" s="12">
        <f t="shared" ref="G253:G256" si="70">1.33+0.2</f>
        <v>1.53</v>
      </c>
      <c r="H253" s="13">
        <v>21.0</v>
      </c>
      <c r="I253" s="13">
        <v>4.31</v>
      </c>
      <c r="J253" s="13">
        <v>46.0</v>
      </c>
      <c r="K253" s="13">
        <v>0.97</v>
      </c>
      <c r="L253" s="11">
        <v>4.0</v>
      </c>
      <c r="M253" s="11">
        <v>0.02</v>
      </c>
      <c r="N253" s="14">
        <v>0.05</v>
      </c>
      <c r="O253" s="13">
        <v>5.15</v>
      </c>
      <c r="P253" s="11">
        <v>0.0</v>
      </c>
      <c r="Q253" s="11">
        <v>0.0</v>
      </c>
      <c r="R253" s="11">
        <f t="shared" si="20"/>
        <v>4</v>
      </c>
      <c r="S253" s="15">
        <v>0.0917</v>
      </c>
      <c r="T253" s="11">
        <v>16.72</v>
      </c>
      <c r="U253" s="22">
        <f t="shared" si="21"/>
        <v>27.17</v>
      </c>
      <c r="V253" s="4"/>
      <c r="W253" s="4">
        <f t="shared" si="4"/>
        <v>25.64</v>
      </c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18"/>
      <c r="B254" s="18"/>
      <c r="C254" s="18"/>
      <c r="D254" s="18"/>
      <c r="E254" s="18"/>
      <c r="F254" s="11" t="s">
        <v>23</v>
      </c>
      <c r="G254" s="12">
        <f t="shared" si="70"/>
        <v>1.53</v>
      </c>
      <c r="H254" s="13">
        <v>21.0</v>
      </c>
      <c r="I254" s="13">
        <v>4.31</v>
      </c>
      <c r="J254" s="13">
        <v>46.0</v>
      </c>
      <c r="K254" s="13">
        <v>0.97</v>
      </c>
      <c r="L254" s="11">
        <v>4.0</v>
      </c>
      <c r="M254" s="11">
        <v>0.04</v>
      </c>
      <c r="N254" s="14">
        <v>0.05</v>
      </c>
      <c r="O254" s="13">
        <v>5.15</v>
      </c>
      <c r="P254" s="11">
        <v>0.0</v>
      </c>
      <c r="Q254" s="11">
        <v>0.0</v>
      </c>
      <c r="R254" s="21">
        <f t="shared" si="20"/>
        <v>4</v>
      </c>
      <c r="S254" s="15">
        <v>0.0917</v>
      </c>
      <c r="T254" s="11">
        <v>16.8</v>
      </c>
      <c r="U254" s="22">
        <f t="shared" si="21"/>
        <v>27.27</v>
      </c>
      <c r="V254" s="4"/>
      <c r="W254" s="4">
        <f t="shared" si="4"/>
        <v>25.74</v>
      </c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18"/>
      <c r="B255" s="18"/>
      <c r="C255" s="18"/>
      <c r="D255" s="18"/>
      <c r="E255" s="18"/>
      <c r="F255" s="11" t="s">
        <v>24</v>
      </c>
      <c r="G255" s="12">
        <f t="shared" si="70"/>
        <v>1.53</v>
      </c>
      <c r="H255" s="13">
        <v>21.0</v>
      </c>
      <c r="I255" s="13">
        <v>4.31</v>
      </c>
      <c r="J255" s="13">
        <v>46.0</v>
      </c>
      <c r="K255" s="13">
        <v>0.97</v>
      </c>
      <c r="L255" s="11">
        <v>3.0</v>
      </c>
      <c r="M255" s="11">
        <v>0.0</v>
      </c>
      <c r="N255" s="14">
        <v>0.0</v>
      </c>
      <c r="O255" s="13">
        <v>5.15</v>
      </c>
      <c r="P255" s="11">
        <v>0.0</v>
      </c>
      <c r="Q255" s="11">
        <v>0.0</v>
      </c>
      <c r="R255" s="21">
        <f t="shared" si="20"/>
        <v>3</v>
      </c>
      <c r="S255" s="15">
        <v>0.0688</v>
      </c>
      <c r="T255" s="11">
        <v>11.45</v>
      </c>
      <c r="U255" s="22">
        <f t="shared" si="21"/>
        <v>21.88</v>
      </c>
      <c r="V255" s="4"/>
      <c r="W255" s="4">
        <f t="shared" si="4"/>
        <v>20.35</v>
      </c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19"/>
      <c r="B256" s="19"/>
      <c r="C256" s="19"/>
      <c r="D256" s="19"/>
      <c r="E256" s="19"/>
      <c r="F256" s="11" t="s">
        <v>25</v>
      </c>
      <c r="G256" s="12">
        <f t="shared" si="70"/>
        <v>1.53</v>
      </c>
      <c r="H256" s="13">
        <v>21.0</v>
      </c>
      <c r="I256" s="13">
        <v>4.31</v>
      </c>
      <c r="J256" s="13">
        <v>46.0</v>
      </c>
      <c r="K256" s="13">
        <v>0.97</v>
      </c>
      <c r="L256" s="11">
        <v>5.0</v>
      </c>
      <c r="M256" s="11">
        <v>0.06</v>
      </c>
      <c r="N256" s="14">
        <v>0.07</v>
      </c>
      <c r="O256" s="13">
        <v>5.15</v>
      </c>
      <c r="P256" s="11">
        <v>0.0</v>
      </c>
      <c r="Q256" s="11">
        <v>0.0</v>
      </c>
      <c r="R256" s="11">
        <f t="shared" si="20"/>
        <v>5</v>
      </c>
      <c r="S256" s="15">
        <v>0.1147</v>
      </c>
      <c r="T256" s="11">
        <v>21.11</v>
      </c>
      <c r="U256" s="22">
        <f t="shared" si="21"/>
        <v>31.6</v>
      </c>
      <c r="V256" s="4"/>
      <c r="W256" s="4">
        <f t="shared" si="4"/>
        <v>30.07</v>
      </c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9">
        <v>93.0</v>
      </c>
      <c r="B257" s="9" t="s">
        <v>48</v>
      </c>
      <c r="C257" s="9" t="s">
        <v>30</v>
      </c>
      <c r="D257" s="9" t="s">
        <v>31</v>
      </c>
      <c r="E257" s="10">
        <v>82.0</v>
      </c>
      <c r="F257" s="11" t="s">
        <v>22</v>
      </c>
      <c r="G257" s="12">
        <f t="shared" ref="G257:G260" si="71">1.43+0.26</f>
        <v>1.69</v>
      </c>
      <c r="H257" s="13">
        <v>44.0</v>
      </c>
      <c r="I257" s="13">
        <v>4.74</v>
      </c>
      <c r="J257" s="13">
        <v>83.0</v>
      </c>
      <c r="K257" s="13">
        <v>1.63</v>
      </c>
      <c r="L257" s="11">
        <v>8.0</v>
      </c>
      <c r="M257" s="11">
        <v>0.03</v>
      </c>
      <c r="N257" s="14">
        <v>0.12</v>
      </c>
      <c r="O257" s="13">
        <v>3.28</v>
      </c>
      <c r="P257" s="11">
        <v>1.0</v>
      </c>
      <c r="Q257" s="11">
        <v>0.02</v>
      </c>
      <c r="R257" s="11">
        <f t="shared" si="20"/>
        <v>9</v>
      </c>
      <c r="S257" s="15">
        <v>0.1098</v>
      </c>
      <c r="T257" s="11">
        <v>37.98</v>
      </c>
      <c r="U257" s="22">
        <f t="shared" si="21"/>
        <v>47.66</v>
      </c>
      <c r="V257" s="4"/>
      <c r="W257" s="4">
        <f t="shared" si="4"/>
        <v>45.97</v>
      </c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18"/>
      <c r="B258" s="18"/>
      <c r="C258" s="18"/>
      <c r="D258" s="18"/>
      <c r="E258" s="18"/>
      <c r="F258" s="11" t="s">
        <v>23</v>
      </c>
      <c r="G258" s="12">
        <f t="shared" si="71"/>
        <v>1.69</v>
      </c>
      <c r="H258" s="13">
        <v>44.0</v>
      </c>
      <c r="I258" s="13">
        <v>4.74</v>
      </c>
      <c r="J258" s="13">
        <v>83.0</v>
      </c>
      <c r="K258" s="13">
        <v>1.63</v>
      </c>
      <c r="L258" s="11">
        <v>7.0</v>
      </c>
      <c r="M258" s="11">
        <v>0.08</v>
      </c>
      <c r="N258" s="14">
        <v>0.1</v>
      </c>
      <c r="O258" s="13">
        <v>3.28</v>
      </c>
      <c r="P258" s="11">
        <v>1.0</v>
      </c>
      <c r="Q258" s="11">
        <v>0.03</v>
      </c>
      <c r="R258" s="21">
        <f t="shared" si="20"/>
        <v>8</v>
      </c>
      <c r="S258" s="15">
        <v>0.0976</v>
      </c>
      <c r="T258" s="11">
        <v>33.32</v>
      </c>
      <c r="U258" s="22">
        <f t="shared" si="21"/>
        <v>43.05</v>
      </c>
      <c r="V258" s="4"/>
      <c r="W258" s="4">
        <f t="shared" si="4"/>
        <v>41.36</v>
      </c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18"/>
      <c r="B259" s="18"/>
      <c r="C259" s="18"/>
      <c r="D259" s="18"/>
      <c r="E259" s="18"/>
      <c r="F259" s="11" t="s">
        <v>24</v>
      </c>
      <c r="G259" s="12">
        <f t="shared" si="71"/>
        <v>1.69</v>
      </c>
      <c r="H259" s="13">
        <v>44.0</v>
      </c>
      <c r="I259" s="13">
        <v>4.74</v>
      </c>
      <c r="J259" s="13">
        <v>83.0</v>
      </c>
      <c r="K259" s="13">
        <v>1.63</v>
      </c>
      <c r="L259" s="11">
        <v>8.0</v>
      </c>
      <c r="M259" s="11">
        <v>0.0</v>
      </c>
      <c r="N259" s="14">
        <v>0.0</v>
      </c>
      <c r="O259" s="13">
        <v>3.28</v>
      </c>
      <c r="P259" s="11">
        <v>0.0</v>
      </c>
      <c r="Q259" s="11">
        <v>0.0</v>
      </c>
      <c r="R259" s="21">
        <f t="shared" si="20"/>
        <v>8</v>
      </c>
      <c r="S259" s="15">
        <v>0.0976</v>
      </c>
      <c r="T259" s="11">
        <v>30.25</v>
      </c>
      <c r="U259" s="22">
        <f t="shared" si="21"/>
        <v>39.9</v>
      </c>
      <c r="V259" s="4"/>
      <c r="W259" s="4">
        <f t="shared" si="4"/>
        <v>38.21</v>
      </c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19"/>
      <c r="B260" s="19"/>
      <c r="C260" s="19"/>
      <c r="D260" s="19"/>
      <c r="E260" s="19"/>
      <c r="F260" s="11" t="s">
        <v>25</v>
      </c>
      <c r="G260" s="12">
        <f t="shared" si="71"/>
        <v>1.69</v>
      </c>
      <c r="H260" s="13">
        <v>44.0</v>
      </c>
      <c r="I260" s="13">
        <v>4.74</v>
      </c>
      <c r="J260" s="13">
        <v>83.0</v>
      </c>
      <c r="K260" s="13">
        <v>1.63</v>
      </c>
      <c r="L260" s="11">
        <v>7.0</v>
      </c>
      <c r="M260" s="11">
        <v>0.13</v>
      </c>
      <c r="N260" s="14">
        <v>0.09</v>
      </c>
      <c r="O260" s="13">
        <v>3.28</v>
      </c>
      <c r="P260" s="11">
        <v>1.0</v>
      </c>
      <c r="Q260" s="11">
        <v>0.02</v>
      </c>
      <c r="R260" s="11">
        <f t="shared" si="20"/>
        <v>8</v>
      </c>
      <c r="S260" s="15">
        <v>0.0976</v>
      </c>
      <c r="T260" s="11">
        <v>33.47</v>
      </c>
      <c r="U260" s="22">
        <f t="shared" si="21"/>
        <v>43.25</v>
      </c>
      <c r="V260" s="4"/>
      <c r="W260" s="4">
        <f t="shared" si="4"/>
        <v>41.56</v>
      </c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9">
        <v>101.0</v>
      </c>
      <c r="B261" s="9" t="s">
        <v>48</v>
      </c>
      <c r="C261" s="9" t="s">
        <v>30</v>
      </c>
      <c r="D261" s="9" t="s">
        <v>32</v>
      </c>
      <c r="E261" s="10">
        <v>46.2</v>
      </c>
      <c r="F261" s="11" t="s">
        <v>22</v>
      </c>
      <c r="G261" s="13">
        <f t="shared" ref="G261:G264" si="72">1.38+0.2</f>
        <v>1.58</v>
      </c>
      <c r="H261" s="13">
        <v>21.0</v>
      </c>
      <c r="I261" s="13">
        <v>4.37</v>
      </c>
      <c r="J261" s="13">
        <v>48.0</v>
      </c>
      <c r="K261" s="13">
        <v>1.07</v>
      </c>
      <c r="L261" s="11">
        <v>3.0</v>
      </c>
      <c r="M261" s="11">
        <v>0.02</v>
      </c>
      <c r="N261" s="14">
        <v>0.06</v>
      </c>
      <c r="O261" s="13">
        <v>3.26</v>
      </c>
      <c r="P261" s="11">
        <v>1.0</v>
      </c>
      <c r="Q261" s="11">
        <v>0.03</v>
      </c>
      <c r="R261" s="11">
        <f t="shared" si="20"/>
        <v>4</v>
      </c>
      <c r="S261" s="15">
        <v>0.0866</v>
      </c>
      <c r="T261" s="11">
        <v>16.78</v>
      </c>
      <c r="U261" s="22">
        <f t="shared" si="21"/>
        <v>25.5</v>
      </c>
      <c r="V261" s="4"/>
      <c r="W261" s="4">
        <f t="shared" si="4"/>
        <v>23.92</v>
      </c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18"/>
      <c r="B262" s="18"/>
      <c r="C262" s="18"/>
      <c r="D262" s="18"/>
      <c r="E262" s="18"/>
      <c r="F262" s="11" t="s">
        <v>23</v>
      </c>
      <c r="G262" s="13">
        <f t="shared" si="72"/>
        <v>1.58</v>
      </c>
      <c r="H262" s="13">
        <v>21.0</v>
      </c>
      <c r="I262" s="13">
        <v>4.37</v>
      </c>
      <c r="J262" s="13">
        <v>48.0</v>
      </c>
      <c r="K262" s="13">
        <v>1.07</v>
      </c>
      <c r="L262" s="11">
        <v>3.0</v>
      </c>
      <c r="M262" s="11">
        <v>0.04</v>
      </c>
      <c r="N262" s="14">
        <v>0.05</v>
      </c>
      <c r="O262" s="13">
        <v>3.26</v>
      </c>
      <c r="P262" s="11">
        <v>1.0</v>
      </c>
      <c r="Q262" s="11">
        <v>0.03</v>
      </c>
      <c r="R262" s="21">
        <f t="shared" si="20"/>
        <v>4</v>
      </c>
      <c r="S262" s="15">
        <v>0.0866</v>
      </c>
      <c r="T262" s="11">
        <v>16.83</v>
      </c>
      <c r="U262" s="22">
        <f t="shared" si="21"/>
        <v>25.57</v>
      </c>
      <c r="V262" s="4"/>
      <c r="W262" s="4">
        <f t="shared" si="4"/>
        <v>23.99</v>
      </c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18"/>
      <c r="B263" s="18"/>
      <c r="C263" s="18"/>
      <c r="D263" s="18"/>
      <c r="E263" s="18"/>
      <c r="F263" s="11" t="s">
        <v>24</v>
      </c>
      <c r="G263" s="13">
        <f t="shared" si="72"/>
        <v>1.58</v>
      </c>
      <c r="H263" s="13">
        <v>21.0</v>
      </c>
      <c r="I263" s="13">
        <v>4.37</v>
      </c>
      <c r="J263" s="13">
        <v>48.0</v>
      </c>
      <c r="K263" s="13">
        <v>1.07</v>
      </c>
      <c r="L263" s="11">
        <v>5.0</v>
      </c>
      <c r="M263" s="11">
        <v>0.0</v>
      </c>
      <c r="N263" s="14">
        <v>0.0</v>
      </c>
      <c r="O263" s="13">
        <v>3.26</v>
      </c>
      <c r="P263" s="11">
        <v>0.0</v>
      </c>
      <c r="Q263" s="11">
        <v>0.0</v>
      </c>
      <c r="R263" s="21">
        <f t="shared" si="20"/>
        <v>5</v>
      </c>
      <c r="S263" s="15">
        <v>0.1082</v>
      </c>
      <c r="T263" s="11">
        <v>18.98</v>
      </c>
      <c r="U263" s="22">
        <f t="shared" si="21"/>
        <v>27.68</v>
      </c>
      <c r="V263" s="4"/>
      <c r="W263" s="4">
        <f t="shared" si="4"/>
        <v>26.1</v>
      </c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19"/>
      <c r="B264" s="19"/>
      <c r="C264" s="19"/>
      <c r="D264" s="19"/>
      <c r="E264" s="19"/>
      <c r="F264" s="11" t="s">
        <v>25</v>
      </c>
      <c r="G264" s="13">
        <f t="shared" si="72"/>
        <v>1.58</v>
      </c>
      <c r="H264" s="13">
        <v>21.0</v>
      </c>
      <c r="I264" s="13">
        <v>4.37</v>
      </c>
      <c r="J264" s="13">
        <v>48.0</v>
      </c>
      <c r="K264" s="13">
        <v>1.07</v>
      </c>
      <c r="L264" s="11">
        <v>5.0</v>
      </c>
      <c r="M264" s="11">
        <v>0.05</v>
      </c>
      <c r="N264" s="14">
        <v>0.06</v>
      </c>
      <c r="O264" s="13">
        <v>3.26</v>
      </c>
      <c r="P264" s="11">
        <v>1.0</v>
      </c>
      <c r="Q264" s="11">
        <v>0.04</v>
      </c>
      <c r="R264" s="11">
        <f t="shared" si="20"/>
        <v>6</v>
      </c>
      <c r="S264" s="15">
        <v>0.1299</v>
      </c>
      <c r="T264" s="11">
        <v>25.15</v>
      </c>
      <c r="U264" s="22">
        <f t="shared" si="21"/>
        <v>33.9</v>
      </c>
      <c r="V264" s="4"/>
      <c r="W264" s="4">
        <f t="shared" si="4"/>
        <v>32.32</v>
      </c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9">
        <v>103.0</v>
      </c>
      <c r="B265" s="9" t="s">
        <v>48</v>
      </c>
      <c r="C265" s="9" t="s">
        <v>30</v>
      </c>
      <c r="D265" s="9" t="s">
        <v>32</v>
      </c>
      <c r="E265" s="10">
        <v>60.0</v>
      </c>
      <c r="F265" s="11" t="s">
        <v>22</v>
      </c>
      <c r="G265" s="12">
        <f t="shared" ref="G265:G268" si="73">1.32+0.27</f>
        <v>1.59</v>
      </c>
      <c r="H265" s="13">
        <v>24.0</v>
      </c>
      <c r="I265" s="13">
        <v>4.42</v>
      </c>
      <c r="J265" s="13">
        <v>63.0</v>
      </c>
      <c r="K265" s="13">
        <v>1.34</v>
      </c>
      <c r="L265" s="11">
        <v>2.0</v>
      </c>
      <c r="M265" s="11">
        <v>0.03</v>
      </c>
      <c r="N265" s="14">
        <v>0.03</v>
      </c>
      <c r="O265" s="13">
        <v>2.07</v>
      </c>
      <c r="P265" s="11">
        <v>1.0</v>
      </c>
      <c r="Q265" s="11">
        <v>0.02</v>
      </c>
      <c r="R265" s="11">
        <f t="shared" si="20"/>
        <v>3</v>
      </c>
      <c r="S265" s="15">
        <v>0.05</v>
      </c>
      <c r="T265" s="11">
        <v>12.24</v>
      </c>
      <c r="U265" s="22">
        <f t="shared" si="21"/>
        <v>20.1</v>
      </c>
      <c r="V265" s="4"/>
      <c r="W265" s="4">
        <f t="shared" si="4"/>
        <v>18.51</v>
      </c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18"/>
      <c r="B266" s="18"/>
      <c r="C266" s="18"/>
      <c r="D266" s="18"/>
      <c r="E266" s="18"/>
      <c r="F266" s="11" t="s">
        <v>23</v>
      </c>
      <c r="G266" s="12">
        <f t="shared" si="73"/>
        <v>1.59</v>
      </c>
      <c r="H266" s="13">
        <v>24.0</v>
      </c>
      <c r="I266" s="13">
        <v>4.42</v>
      </c>
      <c r="J266" s="13">
        <v>63.0</v>
      </c>
      <c r="K266" s="13">
        <v>1.34</v>
      </c>
      <c r="L266" s="11">
        <v>1.0</v>
      </c>
      <c r="M266" s="11">
        <v>0.06</v>
      </c>
      <c r="N266" s="14">
        <v>0.02</v>
      </c>
      <c r="O266" s="13">
        <v>2.07</v>
      </c>
      <c r="P266" s="11">
        <v>0.0</v>
      </c>
      <c r="Q266" s="11">
        <v>0.0</v>
      </c>
      <c r="R266" s="21">
        <f t="shared" si="20"/>
        <v>1</v>
      </c>
      <c r="S266" s="15">
        <v>0.0167</v>
      </c>
      <c r="T266" s="11">
        <v>3.76</v>
      </c>
      <c r="U266" s="22">
        <f t="shared" si="21"/>
        <v>11.65</v>
      </c>
      <c r="V266" s="4"/>
      <c r="W266" s="4">
        <f t="shared" si="4"/>
        <v>10.06</v>
      </c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18"/>
      <c r="B267" s="18"/>
      <c r="C267" s="18"/>
      <c r="D267" s="18"/>
      <c r="E267" s="18"/>
      <c r="F267" s="11" t="s">
        <v>24</v>
      </c>
      <c r="G267" s="12">
        <f t="shared" si="73"/>
        <v>1.59</v>
      </c>
      <c r="H267" s="13">
        <v>24.0</v>
      </c>
      <c r="I267" s="13">
        <v>4.42</v>
      </c>
      <c r="J267" s="13">
        <v>63.0</v>
      </c>
      <c r="K267" s="13">
        <v>1.34</v>
      </c>
      <c r="L267" s="11">
        <v>1.0</v>
      </c>
      <c r="M267" s="11">
        <v>0.0</v>
      </c>
      <c r="N267" s="14">
        <v>0.0</v>
      </c>
      <c r="O267" s="13">
        <v>2.07</v>
      </c>
      <c r="P267" s="11">
        <v>0.0</v>
      </c>
      <c r="Q267" s="11">
        <v>0.0</v>
      </c>
      <c r="R267" s="21">
        <f t="shared" si="20"/>
        <v>1</v>
      </c>
      <c r="S267" s="15">
        <v>0.0167</v>
      </c>
      <c r="T267" s="11">
        <v>3.74</v>
      </c>
      <c r="U267" s="22">
        <f t="shared" si="21"/>
        <v>11.57</v>
      </c>
      <c r="V267" s="4"/>
      <c r="W267" s="4">
        <f t="shared" si="4"/>
        <v>9.98</v>
      </c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19"/>
      <c r="B268" s="19"/>
      <c r="C268" s="19"/>
      <c r="D268" s="19"/>
      <c r="E268" s="19"/>
      <c r="F268" s="11" t="s">
        <v>25</v>
      </c>
      <c r="G268" s="12">
        <f t="shared" si="73"/>
        <v>1.59</v>
      </c>
      <c r="H268" s="13">
        <v>24.0</v>
      </c>
      <c r="I268" s="13">
        <v>4.42</v>
      </c>
      <c r="J268" s="13">
        <v>63.0</v>
      </c>
      <c r="K268" s="13">
        <v>1.34</v>
      </c>
      <c r="L268" s="11">
        <v>3.0</v>
      </c>
      <c r="M268" s="11">
        <v>0.04</v>
      </c>
      <c r="N268" s="14">
        <v>0.03</v>
      </c>
      <c r="O268" s="13">
        <v>2.07</v>
      </c>
      <c r="P268" s="11">
        <v>1.0</v>
      </c>
      <c r="Q268" s="11">
        <v>0.02</v>
      </c>
      <c r="R268" s="11">
        <f t="shared" si="20"/>
        <v>4</v>
      </c>
      <c r="S268" s="15">
        <v>0.0667</v>
      </c>
      <c r="T268" s="11">
        <v>16.37</v>
      </c>
      <c r="U268" s="22">
        <f t="shared" si="21"/>
        <v>24.24</v>
      </c>
      <c r="V268" s="4"/>
      <c r="W268" s="4">
        <f t="shared" si="4"/>
        <v>22.65</v>
      </c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9">
        <v>104.0</v>
      </c>
      <c r="B269" s="9" t="s">
        <v>48</v>
      </c>
      <c r="C269" s="9" t="s">
        <v>30</v>
      </c>
      <c r="D269" s="9" t="s">
        <v>32</v>
      </c>
      <c r="E269" s="10">
        <v>39.7</v>
      </c>
      <c r="F269" s="11" t="s">
        <v>22</v>
      </c>
      <c r="G269" s="13">
        <f t="shared" ref="G269:G272" si="74">1.95+0.7</f>
        <v>2.65</v>
      </c>
      <c r="H269" s="13">
        <v>21.0</v>
      </c>
      <c r="I269" s="13">
        <v>13.03</v>
      </c>
      <c r="J269" s="13">
        <v>42.0</v>
      </c>
      <c r="K269" s="13">
        <v>0.92</v>
      </c>
      <c r="L269" s="11">
        <v>0.0</v>
      </c>
      <c r="M269" s="11">
        <v>0.02</v>
      </c>
      <c r="N269" s="14">
        <v>0.01</v>
      </c>
      <c r="O269" s="13">
        <v>6.2</v>
      </c>
      <c r="P269" s="11">
        <v>2.0</v>
      </c>
      <c r="Q269" s="11">
        <v>0.01</v>
      </c>
      <c r="R269" s="11">
        <f t="shared" si="20"/>
        <v>2</v>
      </c>
      <c r="S269" s="15">
        <v>0.0504</v>
      </c>
      <c r="T269" s="11">
        <v>7.84</v>
      </c>
      <c r="U269" s="22">
        <f t="shared" si="21"/>
        <v>28.01</v>
      </c>
      <c r="V269" s="4"/>
      <c r="W269" s="4">
        <f t="shared" si="4"/>
        <v>25.36</v>
      </c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18"/>
      <c r="B270" s="18"/>
      <c r="C270" s="18"/>
      <c r="D270" s="18"/>
      <c r="E270" s="18"/>
      <c r="F270" s="11" t="s">
        <v>23</v>
      </c>
      <c r="G270" s="13">
        <f t="shared" si="74"/>
        <v>2.65</v>
      </c>
      <c r="H270" s="13">
        <v>21.0</v>
      </c>
      <c r="I270" s="13">
        <v>13.03</v>
      </c>
      <c r="J270" s="13">
        <v>42.0</v>
      </c>
      <c r="K270" s="13">
        <v>0.92</v>
      </c>
      <c r="L270" s="11">
        <v>0.0</v>
      </c>
      <c r="M270" s="11">
        <v>0.05</v>
      </c>
      <c r="N270" s="14">
        <v>0.01</v>
      </c>
      <c r="O270" s="13">
        <v>6.2</v>
      </c>
      <c r="P270" s="11">
        <v>2.0</v>
      </c>
      <c r="Q270" s="11">
        <v>0.01</v>
      </c>
      <c r="R270" s="21">
        <f t="shared" si="20"/>
        <v>2</v>
      </c>
      <c r="S270" s="15">
        <v>0.0504</v>
      </c>
      <c r="T270" s="11">
        <v>7.45</v>
      </c>
      <c r="U270" s="22">
        <f t="shared" si="21"/>
        <v>27.65</v>
      </c>
      <c r="V270" s="4"/>
      <c r="W270" s="4">
        <f t="shared" si="4"/>
        <v>25</v>
      </c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18"/>
      <c r="B271" s="18"/>
      <c r="C271" s="18"/>
      <c r="D271" s="18"/>
      <c r="E271" s="18"/>
      <c r="F271" s="11" t="s">
        <v>24</v>
      </c>
      <c r="G271" s="13">
        <f t="shared" si="74"/>
        <v>2.65</v>
      </c>
      <c r="H271" s="13">
        <v>21.0</v>
      </c>
      <c r="I271" s="13">
        <v>13.03</v>
      </c>
      <c r="J271" s="13">
        <v>42.0</v>
      </c>
      <c r="K271" s="13">
        <v>0.92</v>
      </c>
      <c r="L271" s="11">
        <v>4.0</v>
      </c>
      <c r="M271" s="11">
        <v>0.0</v>
      </c>
      <c r="N271" s="14">
        <v>0.0</v>
      </c>
      <c r="O271" s="13">
        <v>6.2</v>
      </c>
      <c r="P271" s="11">
        <v>0.0</v>
      </c>
      <c r="Q271" s="11">
        <v>0.0</v>
      </c>
      <c r="R271" s="21">
        <f t="shared" si="20"/>
        <v>4</v>
      </c>
      <c r="S271" s="15">
        <v>0.1008</v>
      </c>
      <c r="T271" s="11">
        <v>14.99</v>
      </c>
      <c r="U271" s="22">
        <f t="shared" si="21"/>
        <v>35.14</v>
      </c>
      <c r="V271" s="4"/>
      <c r="W271" s="4">
        <f t="shared" si="4"/>
        <v>32.49</v>
      </c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19"/>
      <c r="B272" s="19"/>
      <c r="C272" s="19"/>
      <c r="D272" s="19"/>
      <c r="E272" s="19"/>
      <c r="F272" s="11" t="s">
        <v>25</v>
      </c>
      <c r="G272" s="13">
        <f t="shared" si="74"/>
        <v>2.65</v>
      </c>
      <c r="H272" s="13">
        <v>21.0</v>
      </c>
      <c r="I272" s="13">
        <v>13.03</v>
      </c>
      <c r="J272" s="13">
        <v>42.0</v>
      </c>
      <c r="K272" s="13">
        <v>0.92</v>
      </c>
      <c r="L272" s="11">
        <v>3.0</v>
      </c>
      <c r="M272" s="11">
        <v>0.03</v>
      </c>
      <c r="N272" s="14">
        <v>0.07</v>
      </c>
      <c r="O272" s="13">
        <v>6.2</v>
      </c>
      <c r="P272" s="11">
        <v>0.0</v>
      </c>
      <c r="Q272" s="11">
        <v>0.0</v>
      </c>
      <c r="R272" s="11">
        <f t="shared" si="20"/>
        <v>3</v>
      </c>
      <c r="S272" s="15">
        <v>0.0756</v>
      </c>
      <c r="T272" s="11">
        <v>12.45</v>
      </c>
      <c r="U272" s="22">
        <f t="shared" si="21"/>
        <v>32.63</v>
      </c>
      <c r="V272" s="4"/>
      <c r="W272" s="4">
        <f t="shared" si="4"/>
        <v>29.98</v>
      </c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9">
        <v>111.0</v>
      </c>
      <c r="B273" s="9" t="s">
        <v>48</v>
      </c>
      <c r="C273" s="9" t="s">
        <v>30</v>
      </c>
      <c r="D273" s="9" t="s">
        <v>50</v>
      </c>
      <c r="E273" s="10">
        <v>65.4</v>
      </c>
      <c r="F273" s="11" t="s">
        <v>22</v>
      </c>
      <c r="G273" s="12">
        <f t="shared" ref="G273:G276" si="75">1.45+0.24</f>
        <v>1.69</v>
      </c>
      <c r="H273" s="13">
        <v>27.0</v>
      </c>
      <c r="I273" s="13">
        <v>4.18</v>
      </c>
      <c r="J273" s="13">
        <v>66.0</v>
      </c>
      <c r="K273" s="13">
        <v>1.41</v>
      </c>
      <c r="L273" s="11">
        <v>5.0</v>
      </c>
      <c r="M273" s="11">
        <v>0.03</v>
      </c>
      <c r="N273" s="14">
        <v>0.09</v>
      </c>
      <c r="O273" s="13">
        <v>2.07</v>
      </c>
      <c r="P273" s="11">
        <v>1.0</v>
      </c>
      <c r="Q273" s="11">
        <v>0.02</v>
      </c>
      <c r="R273" s="11">
        <f t="shared" si="20"/>
        <v>6</v>
      </c>
      <c r="S273" s="15">
        <v>0.0917</v>
      </c>
      <c r="T273" s="11">
        <v>24.93</v>
      </c>
      <c r="U273" s="22">
        <f t="shared" si="21"/>
        <v>32.62</v>
      </c>
      <c r="V273" s="4"/>
      <c r="W273" s="4">
        <f t="shared" si="4"/>
        <v>30.93</v>
      </c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18"/>
      <c r="B274" s="18"/>
      <c r="C274" s="18"/>
      <c r="D274" s="18"/>
      <c r="E274" s="18"/>
      <c r="F274" s="11" t="s">
        <v>23</v>
      </c>
      <c r="G274" s="12">
        <f t="shared" si="75"/>
        <v>1.69</v>
      </c>
      <c r="H274" s="13">
        <v>27.0</v>
      </c>
      <c r="I274" s="13">
        <v>4.18</v>
      </c>
      <c r="J274" s="13">
        <v>66.0</v>
      </c>
      <c r="K274" s="13">
        <v>1.41</v>
      </c>
      <c r="L274" s="11">
        <v>5.0</v>
      </c>
      <c r="M274" s="11">
        <v>0.06</v>
      </c>
      <c r="N274" s="14">
        <v>0.08</v>
      </c>
      <c r="O274" s="13">
        <v>2.07</v>
      </c>
      <c r="P274" s="11">
        <v>1.0</v>
      </c>
      <c r="Q274" s="11">
        <v>0.03</v>
      </c>
      <c r="R274" s="21">
        <f t="shared" si="20"/>
        <v>6</v>
      </c>
      <c r="S274" s="15">
        <v>0.0917</v>
      </c>
      <c r="T274" s="11">
        <v>24.96</v>
      </c>
      <c r="U274" s="22">
        <f t="shared" si="21"/>
        <v>32.68</v>
      </c>
      <c r="V274" s="4"/>
      <c r="W274" s="4">
        <f t="shared" si="4"/>
        <v>30.99</v>
      </c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18"/>
      <c r="B275" s="18"/>
      <c r="C275" s="18"/>
      <c r="D275" s="18"/>
      <c r="E275" s="18"/>
      <c r="F275" s="11" t="s">
        <v>24</v>
      </c>
      <c r="G275" s="12">
        <f t="shared" si="75"/>
        <v>1.69</v>
      </c>
      <c r="H275" s="13">
        <v>27.0</v>
      </c>
      <c r="I275" s="13">
        <v>4.18</v>
      </c>
      <c r="J275" s="13">
        <v>66.0</v>
      </c>
      <c r="K275" s="13">
        <v>1.41</v>
      </c>
      <c r="L275" s="11">
        <v>5.0</v>
      </c>
      <c r="M275" s="11">
        <v>0.0</v>
      </c>
      <c r="N275" s="14">
        <v>0.0</v>
      </c>
      <c r="O275" s="13">
        <v>2.07</v>
      </c>
      <c r="P275" s="11">
        <v>0.0</v>
      </c>
      <c r="Q275" s="11">
        <v>0.0</v>
      </c>
      <c r="R275" s="21">
        <f t="shared" si="20"/>
        <v>5</v>
      </c>
      <c r="S275" s="15">
        <v>0.0765</v>
      </c>
      <c r="T275" s="11">
        <v>18.92</v>
      </c>
      <c r="U275" s="22">
        <f t="shared" si="21"/>
        <v>26.58</v>
      </c>
      <c r="V275" s="4"/>
      <c r="W275" s="4">
        <f t="shared" si="4"/>
        <v>24.89</v>
      </c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19"/>
      <c r="B276" s="19"/>
      <c r="C276" s="19"/>
      <c r="D276" s="19"/>
      <c r="E276" s="19"/>
      <c r="F276" s="11" t="s">
        <v>25</v>
      </c>
      <c r="G276" s="12">
        <f t="shared" si="75"/>
        <v>1.69</v>
      </c>
      <c r="H276" s="13">
        <v>27.0</v>
      </c>
      <c r="I276" s="13">
        <v>4.18</v>
      </c>
      <c r="J276" s="13">
        <v>66.0</v>
      </c>
      <c r="K276" s="13">
        <v>1.41</v>
      </c>
      <c r="L276" s="11">
        <v>5.0</v>
      </c>
      <c r="M276" s="11">
        <v>0.06</v>
      </c>
      <c r="N276" s="14">
        <v>0.06</v>
      </c>
      <c r="O276" s="13">
        <v>2.07</v>
      </c>
      <c r="P276" s="11">
        <v>1.0</v>
      </c>
      <c r="Q276" s="11">
        <v>0.0</v>
      </c>
      <c r="R276" s="11">
        <f t="shared" si="20"/>
        <v>6</v>
      </c>
      <c r="S276" s="15">
        <v>0.0917</v>
      </c>
      <c r="T276" s="11">
        <v>24.78</v>
      </c>
      <c r="U276" s="22">
        <f t="shared" si="21"/>
        <v>32.5</v>
      </c>
      <c r="V276" s="4"/>
      <c r="W276" s="4">
        <f t="shared" si="4"/>
        <v>30.81</v>
      </c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9">
        <v>112.0</v>
      </c>
      <c r="B277" s="9" t="s">
        <v>48</v>
      </c>
      <c r="C277" s="9" t="s">
        <v>30</v>
      </c>
      <c r="D277" s="9" t="s">
        <v>50</v>
      </c>
      <c r="E277" s="10">
        <v>77.9</v>
      </c>
      <c r="F277" s="11" t="s">
        <v>22</v>
      </c>
      <c r="G277" s="12">
        <f t="shared" ref="G277:G280" si="76">1.45+0.25</f>
        <v>1.7</v>
      </c>
      <c r="H277" s="13">
        <v>39.0</v>
      </c>
      <c r="I277" s="13">
        <v>4.41</v>
      </c>
      <c r="J277" s="13">
        <v>78.0</v>
      </c>
      <c r="K277" s="13">
        <v>1.72</v>
      </c>
      <c r="L277" s="11">
        <v>7.0</v>
      </c>
      <c r="M277" s="11">
        <v>0.03</v>
      </c>
      <c r="N277" s="14">
        <v>0.13</v>
      </c>
      <c r="O277" s="13">
        <v>2.19</v>
      </c>
      <c r="P277" s="11">
        <v>0.0</v>
      </c>
      <c r="Q277" s="11">
        <v>0.0</v>
      </c>
      <c r="R277" s="11">
        <f t="shared" si="20"/>
        <v>7</v>
      </c>
      <c r="S277" s="15">
        <v>0.0899</v>
      </c>
      <c r="T277" s="11">
        <v>29.07</v>
      </c>
      <c r="U277" s="22">
        <f t="shared" si="21"/>
        <v>37.42</v>
      </c>
      <c r="V277" s="4"/>
      <c r="W277" s="4">
        <f t="shared" si="4"/>
        <v>35.72</v>
      </c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18"/>
      <c r="B278" s="18"/>
      <c r="C278" s="18"/>
      <c r="D278" s="18"/>
      <c r="E278" s="18"/>
      <c r="F278" s="11" t="s">
        <v>23</v>
      </c>
      <c r="G278" s="12">
        <f t="shared" si="76"/>
        <v>1.7</v>
      </c>
      <c r="H278" s="13">
        <v>39.0</v>
      </c>
      <c r="I278" s="13">
        <v>4.41</v>
      </c>
      <c r="J278" s="13">
        <v>78.0</v>
      </c>
      <c r="K278" s="13">
        <v>1.72</v>
      </c>
      <c r="L278" s="11">
        <v>7.0</v>
      </c>
      <c r="M278" s="11">
        <v>0.03</v>
      </c>
      <c r="N278" s="14">
        <v>0.13</v>
      </c>
      <c r="O278" s="13">
        <v>2.19</v>
      </c>
      <c r="P278" s="11">
        <v>0.0</v>
      </c>
      <c r="Q278" s="11">
        <v>0.0</v>
      </c>
      <c r="R278" s="21">
        <f t="shared" si="20"/>
        <v>7</v>
      </c>
      <c r="S278" s="15">
        <v>0.0899</v>
      </c>
      <c r="T278" s="11">
        <v>29.3</v>
      </c>
      <c r="U278" s="22">
        <f t="shared" si="21"/>
        <v>37.65</v>
      </c>
      <c r="V278" s="4"/>
      <c r="W278" s="4">
        <f t="shared" si="4"/>
        <v>35.95</v>
      </c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18"/>
      <c r="B279" s="18"/>
      <c r="C279" s="18"/>
      <c r="D279" s="18"/>
      <c r="E279" s="18"/>
      <c r="F279" s="11" t="s">
        <v>24</v>
      </c>
      <c r="G279" s="12">
        <f t="shared" si="76"/>
        <v>1.7</v>
      </c>
      <c r="H279" s="13">
        <v>39.0</v>
      </c>
      <c r="I279" s="13">
        <v>4.41</v>
      </c>
      <c r="J279" s="13">
        <v>78.0</v>
      </c>
      <c r="K279" s="13">
        <v>1.72</v>
      </c>
      <c r="L279" s="11">
        <v>4.0</v>
      </c>
      <c r="M279" s="11">
        <v>0.0</v>
      </c>
      <c r="N279" s="14">
        <v>0.0</v>
      </c>
      <c r="O279" s="13">
        <v>2.19</v>
      </c>
      <c r="P279" s="11">
        <v>0.0</v>
      </c>
      <c r="Q279" s="11">
        <v>0.0</v>
      </c>
      <c r="R279" s="21">
        <f t="shared" si="20"/>
        <v>4</v>
      </c>
      <c r="S279" s="15">
        <v>0.0513</v>
      </c>
      <c r="T279" s="11">
        <v>15.1</v>
      </c>
      <c r="U279" s="22">
        <f t="shared" si="21"/>
        <v>23.42</v>
      </c>
      <c r="V279" s="4"/>
      <c r="W279" s="4">
        <f t="shared" si="4"/>
        <v>21.72</v>
      </c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19"/>
      <c r="B280" s="19"/>
      <c r="C280" s="19"/>
      <c r="D280" s="19"/>
      <c r="E280" s="19"/>
      <c r="F280" s="11" t="s">
        <v>25</v>
      </c>
      <c r="G280" s="12">
        <f t="shared" si="76"/>
        <v>1.7</v>
      </c>
      <c r="H280" s="13">
        <v>39.0</v>
      </c>
      <c r="I280" s="13">
        <v>4.41</v>
      </c>
      <c r="J280" s="13">
        <v>78.0</v>
      </c>
      <c r="K280" s="13">
        <v>1.72</v>
      </c>
      <c r="L280" s="11">
        <v>9.0</v>
      </c>
      <c r="M280" s="11">
        <v>0.12</v>
      </c>
      <c r="N280" s="14">
        <v>0.17</v>
      </c>
      <c r="O280" s="13">
        <v>2.19</v>
      </c>
      <c r="P280" s="11">
        <v>0.0</v>
      </c>
      <c r="Q280" s="11">
        <v>0.0</v>
      </c>
      <c r="R280" s="11">
        <f t="shared" si="20"/>
        <v>9</v>
      </c>
      <c r="S280" s="15">
        <v>0.1155</v>
      </c>
      <c r="T280" s="11">
        <v>37.2</v>
      </c>
      <c r="U280" s="22">
        <f t="shared" si="21"/>
        <v>45.64</v>
      </c>
      <c r="V280" s="4"/>
      <c r="W280" s="4">
        <f t="shared" si="4"/>
        <v>43.94</v>
      </c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9">
        <v>113.0</v>
      </c>
      <c r="B281" s="9" t="s">
        <v>48</v>
      </c>
      <c r="C281" s="9" t="s">
        <v>30</v>
      </c>
      <c r="D281" s="9" t="s">
        <v>50</v>
      </c>
      <c r="E281" s="10">
        <v>107.3</v>
      </c>
      <c r="F281" s="11" t="s">
        <v>22</v>
      </c>
      <c r="G281" s="12">
        <f t="shared" ref="G281:G284" si="77">1.91+0.3</f>
        <v>2.21</v>
      </c>
      <c r="H281" s="13">
        <v>62.0</v>
      </c>
      <c r="I281" s="13">
        <v>4.88</v>
      </c>
      <c r="J281" s="13">
        <v>112.0</v>
      </c>
      <c r="K281" s="13">
        <v>2.38</v>
      </c>
      <c r="L281" s="11">
        <v>10.0</v>
      </c>
      <c r="M281" s="11">
        <v>0.05</v>
      </c>
      <c r="N281" s="14">
        <v>0.16</v>
      </c>
      <c r="O281" s="13">
        <v>3.27</v>
      </c>
      <c r="P281" s="11">
        <v>1.0</v>
      </c>
      <c r="Q281" s="11">
        <v>0.05</v>
      </c>
      <c r="R281" s="11">
        <f t="shared" si="20"/>
        <v>11</v>
      </c>
      <c r="S281" s="15">
        <v>0.1025</v>
      </c>
      <c r="T281" s="11">
        <v>45.13</v>
      </c>
      <c r="U281" s="22">
        <f t="shared" si="21"/>
        <v>55.71</v>
      </c>
      <c r="V281" s="4"/>
      <c r="W281" s="4">
        <f t="shared" si="4"/>
        <v>53.5</v>
      </c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18"/>
      <c r="B282" s="18"/>
      <c r="C282" s="18"/>
      <c r="D282" s="18"/>
      <c r="E282" s="18"/>
      <c r="F282" s="11" t="s">
        <v>23</v>
      </c>
      <c r="G282" s="12">
        <f t="shared" si="77"/>
        <v>2.21</v>
      </c>
      <c r="H282" s="13">
        <v>62.0</v>
      </c>
      <c r="I282" s="13">
        <v>4.88</v>
      </c>
      <c r="J282" s="13">
        <v>112.0</v>
      </c>
      <c r="K282" s="13">
        <v>2.38</v>
      </c>
      <c r="L282" s="11">
        <v>6.0</v>
      </c>
      <c r="M282" s="11">
        <v>0.1</v>
      </c>
      <c r="N282" s="14">
        <v>0.12</v>
      </c>
      <c r="O282" s="13">
        <v>3.27</v>
      </c>
      <c r="P282" s="11">
        <v>1.0</v>
      </c>
      <c r="Q282" s="11">
        <v>0.05</v>
      </c>
      <c r="R282" s="21">
        <f t="shared" si="20"/>
        <v>7</v>
      </c>
      <c r="S282" s="15">
        <v>0.0652</v>
      </c>
      <c r="T282" s="11">
        <v>28.4</v>
      </c>
      <c r="U282" s="22">
        <f t="shared" si="21"/>
        <v>39.03</v>
      </c>
      <c r="V282" s="4"/>
      <c r="W282" s="4">
        <f t="shared" si="4"/>
        <v>36.82</v>
      </c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18"/>
      <c r="B283" s="18"/>
      <c r="C283" s="18"/>
      <c r="D283" s="18"/>
      <c r="E283" s="18"/>
      <c r="F283" s="11" t="s">
        <v>24</v>
      </c>
      <c r="G283" s="12">
        <f t="shared" si="77"/>
        <v>2.21</v>
      </c>
      <c r="H283" s="13">
        <v>62.0</v>
      </c>
      <c r="I283" s="13">
        <v>4.88</v>
      </c>
      <c r="J283" s="13">
        <v>112.0</v>
      </c>
      <c r="K283" s="13">
        <v>2.38</v>
      </c>
      <c r="L283" s="11">
        <v>6.0</v>
      </c>
      <c r="M283" s="11">
        <v>0.0</v>
      </c>
      <c r="N283" s="14">
        <v>0.0</v>
      </c>
      <c r="O283" s="13">
        <v>3.27</v>
      </c>
      <c r="P283" s="11">
        <v>0.0</v>
      </c>
      <c r="Q283" s="11">
        <v>0.0</v>
      </c>
      <c r="R283" s="21">
        <f t="shared" si="20"/>
        <v>6</v>
      </c>
      <c r="S283" s="15">
        <v>0.0559</v>
      </c>
      <c r="T283" s="11">
        <v>22.4</v>
      </c>
      <c r="U283" s="22">
        <f t="shared" si="21"/>
        <v>32.93</v>
      </c>
      <c r="V283" s="4"/>
      <c r="W283" s="4">
        <f t="shared" si="4"/>
        <v>30.72</v>
      </c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19"/>
      <c r="B284" s="19"/>
      <c r="C284" s="19"/>
      <c r="D284" s="19"/>
      <c r="E284" s="19"/>
      <c r="F284" s="11" t="s">
        <v>25</v>
      </c>
      <c r="G284" s="12">
        <f t="shared" si="77"/>
        <v>2.21</v>
      </c>
      <c r="H284" s="13">
        <v>62.0</v>
      </c>
      <c r="I284" s="13">
        <v>4.88</v>
      </c>
      <c r="J284" s="13">
        <v>112.0</v>
      </c>
      <c r="K284" s="13">
        <v>2.38</v>
      </c>
      <c r="L284" s="11">
        <v>9.0</v>
      </c>
      <c r="M284" s="11">
        <v>0.25</v>
      </c>
      <c r="N284" s="14">
        <v>0.14</v>
      </c>
      <c r="O284" s="13">
        <v>3.27</v>
      </c>
      <c r="P284" s="11">
        <v>1.0</v>
      </c>
      <c r="Q284" s="11">
        <v>0.06</v>
      </c>
      <c r="R284" s="11">
        <f t="shared" si="20"/>
        <v>10</v>
      </c>
      <c r="S284" s="15">
        <v>0.0932</v>
      </c>
      <c r="T284" s="11">
        <v>40.81</v>
      </c>
      <c r="U284" s="22">
        <f t="shared" si="21"/>
        <v>51.59</v>
      </c>
      <c r="V284" s="4"/>
      <c r="W284" s="4">
        <f t="shared" si="4"/>
        <v>49.38</v>
      </c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9">
        <v>121.0</v>
      </c>
      <c r="B285" s="9" t="s">
        <v>48</v>
      </c>
      <c r="C285" s="9" t="s">
        <v>30</v>
      </c>
      <c r="D285" s="9" t="s">
        <v>51</v>
      </c>
      <c r="E285" s="10">
        <v>116.4</v>
      </c>
      <c r="F285" s="11" t="s">
        <v>22</v>
      </c>
      <c r="G285" s="13">
        <f t="shared" ref="G285:G288" si="78">1.86+0.32</f>
        <v>2.18</v>
      </c>
      <c r="H285" s="13">
        <v>62.0</v>
      </c>
      <c r="I285" s="13">
        <v>5.05</v>
      </c>
      <c r="J285" s="13">
        <v>117.0</v>
      </c>
      <c r="K285" s="13">
        <v>2.57</v>
      </c>
      <c r="L285" s="11">
        <v>5.0</v>
      </c>
      <c r="M285" s="11">
        <v>0.05</v>
      </c>
      <c r="N285" s="14">
        <v>0.11</v>
      </c>
      <c r="O285" s="13">
        <v>5.6</v>
      </c>
      <c r="P285" s="11">
        <v>0.0</v>
      </c>
      <c r="Q285" s="11">
        <v>0.0</v>
      </c>
      <c r="R285" s="11">
        <f t="shared" si="20"/>
        <v>5</v>
      </c>
      <c r="S285" s="15">
        <v>0.043</v>
      </c>
      <c r="T285" s="11">
        <v>20.81</v>
      </c>
      <c r="U285" s="22">
        <f t="shared" si="21"/>
        <v>34.08</v>
      </c>
      <c r="V285" s="4"/>
      <c r="W285" s="4">
        <f t="shared" si="4"/>
        <v>31.9</v>
      </c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18"/>
      <c r="B286" s="18"/>
      <c r="C286" s="18"/>
      <c r="D286" s="18"/>
      <c r="E286" s="18"/>
      <c r="F286" s="11" t="s">
        <v>23</v>
      </c>
      <c r="G286" s="13">
        <f t="shared" si="78"/>
        <v>2.18</v>
      </c>
      <c r="H286" s="13">
        <v>62.0</v>
      </c>
      <c r="I286" s="13">
        <v>5.05</v>
      </c>
      <c r="J286" s="13">
        <v>117.0</v>
      </c>
      <c r="K286" s="13">
        <v>2.57</v>
      </c>
      <c r="L286" s="11">
        <v>5.0</v>
      </c>
      <c r="M286" s="11">
        <v>0.1</v>
      </c>
      <c r="N286" s="14">
        <v>0.11</v>
      </c>
      <c r="O286" s="13">
        <v>5.6</v>
      </c>
      <c r="P286" s="11">
        <v>0.0</v>
      </c>
      <c r="Q286" s="11">
        <v>0.0</v>
      </c>
      <c r="R286" s="21">
        <f t="shared" si="20"/>
        <v>5</v>
      </c>
      <c r="S286" s="15">
        <v>0.043</v>
      </c>
      <c r="T286" s="11">
        <v>20.78</v>
      </c>
      <c r="U286" s="22">
        <f t="shared" si="21"/>
        <v>34.1</v>
      </c>
      <c r="V286" s="4"/>
      <c r="W286" s="4">
        <f t="shared" si="4"/>
        <v>31.92</v>
      </c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18"/>
      <c r="B287" s="18"/>
      <c r="C287" s="18"/>
      <c r="D287" s="18"/>
      <c r="E287" s="18"/>
      <c r="F287" s="11" t="s">
        <v>24</v>
      </c>
      <c r="G287" s="13">
        <f t="shared" si="78"/>
        <v>2.18</v>
      </c>
      <c r="H287" s="13">
        <v>62.0</v>
      </c>
      <c r="I287" s="13">
        <v>5.05</v>
      </c>
      <c r="J287" s="13">
        <v>117.0</v>
      </c>
      <c r="K287" s="13">
        <v>2.57</v>
      </c>
      <c r="L287" s="11">
        <v>12.0</v>
      </c>
      <c r="M287" s="11">
        <v>0.0</v>
      </c>
      <c r="N287" s="14">
        <v>0.0</v>
      </c>
      <c r="O287" s="13">
        <v>5.6</v>
      </c>
      <c r="P287" s="11">
        <v>0.0</v>
      </c>
      <c r="Q287" s="11">
        <v>0.0</v>
      </c>
      <c r="R287" s="21">
        <f t="shared" si="20"/>
        <v>12</v>
      </c>
      <c r="S287" s="15">
        <v>0.1031</v>
      </c>
      <c r="T287" s="11">
        <v>45.26</v>
      </c>
      <c r="U287" s="22">
        <f t="shared" si="21"/>
        <v>58.48</v>
      </c>
      <c r="V287" s="4"/>
      <c r="W287" s="4">
        <f t="shared" si="4"/>
        <v>56.3</v>
      </c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19"/>
      <c r="B288" s="19"/>
      <c r="C288" s="19"/>
      <c r="D288" s="19"/>
      <c r="E288" s="19"/>
      <c r="F288" s="11" t="s">
        <v>25</v>
      </c>
      <c r="G288" s="13">
        <f t="shared" si="78"/>
        <v>2.18</v>
      </c>
      <c r="H288" s="13">
        <v>62.0</v>
      </c>
      <c r="I288" s="13">
        <v>5.05</v>
      </c>
      <c r="J288" s="13">
        <v>117.0</v>
      </c>
      <c r="K288" s="13">
        <v>2.57</v>
      </c>
      <c r="L288" s="11">
        <v>7.0</v>
      </c>
      <c r="M288" s="11">
        <v>0.21</v>
      </c>
      <c r="N288" s="14">
        <v>0.12</v>
      </c>
      <c r="O288" s="13">
        <v>5.6</v>
      </c>
      <c r="P288" s="11">
        <v>1.0</v>
      </c>
      <c r="Q288" s="11">
        <v>0.03</v>
      </c>
      <c r="R288" s="11">
        <f t="shared" si="20"/>
        <v>8</v>
      </c>
      <c r="S288" s="15">
        <v>0.0687</v>
      </c>
      <c r="T288" s="11">
        <v>32.98</v>
      </c>
      <c r="U288" s="22">
        <f t="shared" si="21"/>
        <v>46.41</v>
      </c>
      <c r="V288" s="4"/>
      <c r="W288" s="4">
        <f t="shared" si="4"/>
        <v>44.23</v>
      </c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9">
        <v>122.0</v>
      </c>
      <c r="B289" s="9" t="s">
        <v>48</v>
      </c>
      <c r="C289" s="9" t="s">
        <v>30</v>
      </c>
      <c r="D289" s="9" t="s">
        <v>51</v>
      </c>
      <c r="E289" s="10">
        <v>67.0</v>
      </c>
      <c r="F289" s="11" t="s">
        <v>22</v>
      </c>
      <c r="G289" s="12">
        <f t="shared" ref="G289:G292" si="79">1.26+0.27</f>
        <v>1.53</v>
      </c>
      <c r="H289" s="13">
        <v>28.0</v>
      </c>
      <c r="I289" s="13">
        <v>4.17</v>
      </c>
      <c r="J289" s="13">
        <v>67.0</v>
      </c>
      <c r="K289" s="13">
        <v>1.52</v>
      </c>
      <c r="L289" s="11">
        <v>1.0</v>
      </c>
      <c r="M289" s="11">
        <v>0.03</v>
      </c>
      <c r="N289" s="14">
        <v>0.02</v>
      </c>
      <c r="O289" s="13">
        <v>3.45</v>
      </c>
      <c r="P289" s="11">
        <v>0.0</v>
      </c>
      <c r="Q289" s="11">
        <v>0.0</v>
      </c>
      <c r="R289" s="11">
        <f t="shared" si="20"/>
        <v>1</v>
      </c>
      <c r="S289" s="15">
        <v>0.0149</v>
      </c>
      <c r="T289" s="11">
        <v>4.12</v>
      </c>
      <c r="U289" s="22">
        <f t="shared" si="21"/>
        <v>13.29</v>
      </c>
      <c r="V289" s="4"/>
      <c r="W289" s="4">
        <f t="shared" si="4"/>
        <v>11.76</v>
      </c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18"/>
      <c r="B290" s="18"/>
      <c r="C290" s="18"/>
      <c r="D290" s="18"/>
      <c r="E290" s="18"/>
      <c r="F290" s="11" t="s">
        <v>23</v>
      </c>
      <c r="G290" s="12">
        <f t="shared" si="79"/>
        <v>1.53</v>
      </c>
      <c r="H290" s="13">
        <v>28.0</v>
      </c>
      <c r="I290" s="13">
        <v>4.17</v>
      </c>
      <c r="J290" s="13">
        <v>67.0</v>
      </c>
      <c r="K290" s="13">
        <v>1.52</v>
      </c>
      <c r="L290" s="11">
        <v>1.0</v>
      </c>
      <c r="M290" s="11">
        <v>0.06</v>
      </c>
      <c r="N290" s="14">
        <v>0.02</v>
      </c>
      <c r="O290" s="13">
        <v>3.45</v>
      </c>
      <c r="P290" s="11">
        <v>0.0</v>
      </c>
      <c r="Q290" s="11">
        <v>0.0</v>
      </c>
      <c r="R290" s="21">
        <f t="shared" si="20"/>
        <v>1</v>
      </c>
      <c r="S290" s="15">
        <v>0.0149</v>
      </c>
      <c r="T290" s="11">
        <v>4.17</v>
      </c>
      <c r="U290" s="22">
        <f t="shared" si="21"/>
        <v>13.37</v>
      </c>
      <c r="V290" s="4"/>
      <c r="W290" s="4">
        <f t="shared" si="4"/>
        <v>11.84</v>
      </c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18"/>
      <c r="B291" s="18"/>
      <c r="C291" s="18"/>
      <c r="D291" s="18"/>
      <c r="E291" s="18"/>
      <c r="F291" s="11" t="s">
        <v>24</v>
      </c>
      <c r="G291" s="12">
        <f t="shared" si="79"/>
        <v>1.53</v>
      </c>
      <c r="H291" s="13">
        <v>28.0</v>
      </c>
      <c r="I291" s="13">
        <v>4.17</v>
      </c>
      <c r="J291" s="13">
        <v>67.0</v>
      </c>
      <c r="K291" s="13">
        <v>1.52</v>
      </c>
      <c r="L291" s="11">
        <v>7.0</v>
      </c>
      <c r="M291" s="11">
        <v>0.0</v>
      </c>
      <c r="N291" s="14">
        <v>0.0</v>
      </c>
      <c r="O291" s="13">
        <v>3.45</v>
      </c>
      <c r="P291" s="11">
        <v>0.0</v>
      </c>
      <c r="Q291" s="11">
        <v>0.0</v>
      </c>
      <c r="R291" s="21">
        <f t="shared" si="20"/>
        <v>7</v>
      </c>
      <c r="S291" s="15">
        <v>0.1045</v>
      </c>
      <c r="T291" s="11">
        <v>26.25</v>
      </c>
      <c r="U291" s="22">
        <f t="shared" si="21"/>
        <v>35.39</v>
      </c>
      <c r="V291" s="4"/>
      <c r="W291" s="4">
        <f t="shared" si="4"/>
        <v>33.86</v>
      </c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19"/>
      <c r="B292" s="19"/>
      <c r="C292" s="19"/>
      <c r="D292" s="19"/>
      <c r="E292" s="19"/>
      <c r="F292" s="11" t="s">
        <v>25</v>
      </c>
      <c r="G292" s="12">
        <f t="shared" si="79"/>
        <v>1.53</v>
      </c>
      <c r="H292" s="13">
        <v>28.0</v>
      </c>
      <c r="I292" s="13">
        <v>4.17</v>
      </c>
      <c r="J292" s="13">
        <v>67.0</v>
      </c>
      <c r="K292" s="13">
        <v>1.52</v>
      </c>
      <c r="L292" s="11">
        <v>3.0</v>
      </c>
      <c r="M292" s="11">
        <v>0.07</v>
      </c>
      <c r="N292" s="14">
        <v>0.05</v>
      </c>
      <c r="O292" s="13">
        <v>3.45</v>
      </c>
      <c r="P292" s="11">
        <v>0.0</v>
      </c>
      <c r="Q292" s="11">
        <v>0.0</v>
      </c>
      <c r="R292" s="11">
        <f t="shared" si="20"/>
        <v>3</v>
      </c>
      <c r="S292" s="15">
        <v>0.0448</v>
      </c>
      <c r="T292" s="11">
        <v>12.45</v>
      </c>
      <c r="U292" s="22">
        <f t="shared" si="21"/>
        <v>21.66</v>
      </c>
      <c r="V292" s="4"/>
      <c r="W292" s="4">
        <f t="shared" si="4"/>
        <v>20.13</v>
      </c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9">
        <v>123.0</v>
      </c>
      <c r="B293" s="9" t="s">
        <v>48</v>
      </c>
      <c r="C293" s="9" t="s">
        <v>30</v>
      </c>
      <c r="D293" s="9" t="s">
        <v>51</v>
      </c>
      <c r="E293" s="10">
        <v>117.7</v>
      </c>
      <c r="F293" s="11" t="s">
        <v>22</v>
      </c>
      <c r="G293" s="13">
        <f t="shared" ref="G293:G296" si="80">1.72+0.35</f>
        <v>2.07</v>
      </c>
      <c r="H293" s="13">
        <v>62.0</v>
      </c>
      <c r="I293" s="13">
        <v>4.85</v>
      </c>
      <c r="J293" s="13">
        <v>118.0</v>
      </c>
      <c r="K293" s="13">
        <v>2.55</v>
      </c>
      <c r="L293" s="11">
        <v>5.0</v>
      </c>
      <c r="M293" s="11">
        <v>0.05</v>
      </c>
      <c r="N293" s="14">
        <v>0.1</v>
      </c>
      <c r="O293" s="13">
        <v>5.03</v>
      </c>
      <c r="P293" s="11">
        <v>1.0</v>
      </c>
      <c r="Q293" s="11">
        <v>0.04</v>
      </c>
      <c r="R293" s="11">
        <f t="shared" si="20"/>
        <v>6</v>
      </c>
      <c r="S293" s="15">
        <v>0.051</v>
      </c>
      <c r="T293" s="11">
        <v>24.89</v>
      </c>
      <c r="U293" s="22">
        <f t="shared" si="21"/>
        <v>37.37</v>
      </c>
      <c r="V293" s="4"/>
      <c r="W293" s="4">
        <f t="shared" si="4"/>
        <v>35.3</v>
      </c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18"/>
      <c r="B294" s="18"/>
      <c r="C294" s="18"/>
      <c r="D294" s="18"/>
      <c r="E294" s="18"/>
      <c r="F294" s="11" t="s">
        <v>23</v>
      </c>
      <c r="G294" s="13">
        <f t="shared" si="80"/>
        <v>2.07</v>
      </c>
      <c r="H294" s="13">
        <v>62.0</v>
      </c>
      <c r="I294" s="13">
        <v>4.85</v>
      </c>
      <c r="J294" s="13">
        <v>118.0</v>
      </c>
      <c r="K294" s="13">
        <v>2.55</v>
      </c>
      <c r="L294" s="11">
        <v>4.0</v>
      </c>
      <c r="M294" s="11">
        <v>0.1</v>
      </c>
      <c r="N294" s="14">
        <v>0.09</v>
      </c>
      <c r="O294" s="13">
        <v>5.03</v>
      </c>
      <c r="P294" s="11">
        <v>1.0</v>
      </c>
      <c r="Q294" s="11">
        <v>0.04</v>
      </c>
      <c r="R294" s="21">
        <f t="shared" si="20"/>
        <v>5</v>
      </c>
      <c r="S294" s="15">
        <v>0.0425</v>
      </c>
      <c r="T294" s="11">
        <v>20.7</v>
      </c>
      <c r="U294" s="22">
        <f t="shared" si="21"/>
        <v>33.23</v>
      </c>
      <c r="V294" s="4"/>
      <c r="W294" s="4">
        <f t="shared" si="4"/>
        <v>31.16</v>
      </c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18"/>
      <c r="B295" s="18"/>
      <c r="C295" s="18"/>
      <c r="D295" s="18"/>
      <c r="E295" s="18"/>
      <c r="F295" s="11" t="s">
        <v>24</v>
      </c>
      <c r="G295" s="13">
        <f t="shared" si="80"/>
        <v>2.07</v>
      </c>
      <c r="H295" s="13">
        <v>62.0</v>
      </c>
      <c r="I295" s="13">
        <v>4.85</v>
      </c>
      <c r="J295" s="13">
        <v>118.0</v>
      </c>
      <c r="K295" s="13">
        <v>2.55</v>
      </c>
      <c r="L295" s="11">
        <v>12.0</v>
      </c>
      <c r="M295" s="11">
        <v>0.0</v>
      </c>
      <c r="N295" s="14">
        <v>0.0</v>
      </c>
      <c r="O295" s="13">
        <v>5.03</v>
      </c>
      <c r="P295" s="11">
        <v>0.0</v>
      </c>
      <c r="Q295" s="11">
        <v>0.0</v>
      </c>
      <c r="R295" s="21">
        <f t="shared" si="20"/>
        <v>12</v>
      </c>
      <c r="S295" s="15">
        <v>0.102</v>
      </c>
      <c r="T295" s="11">
        <v>44.61</v>
      </c>
      <c r="U295" s="22">
        <f t="shared" si="21"/>
        <v>57.04</v>
      </c>
      <c r="V295" s="4"/>
      <c r="W295" s="4">
        <f t="shared" si="4"/>
        <v>54.97</v>
      </c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19"/>
      <c r="B296" s="19"/>
      <c r="C296" s="19"/>
      <c r="D296" s="19"/>
      <c r="E296" s="19"/>
      <c r="F296" s="11" t="s">
        <v>25</v>
      </c>
      <c r="G296" s="13">
        <f t="shared" si="80"/>
        <v>2.07</v>
      </c>
      <c r="H296" s="13">
        <v>62.0</v>
      </c>
      <c r="I296" s="13">
        <v>4.85</v>
      </c>
      <c r="J296" s="13">
        <v>118.0</v>
      </c>
      <c r="K296" s="13">
        <v>2.55</v>
      </c>
      <c r="L296" s="11">
        <v>6.0</v>
      </c>
      <c r="M296" s="11">
        <v>0.24</v>
      </c>
      <c r="N296" s="14">
        <v>0.11</v>
      </c>
      <c r="O296" s="13">
        <v>5.03</v>
      </c>
      <c r="P296" s="11">
        <v>0.0</v>
      </c>
      <c r="Q296" s="11">
        <v>0.0</v>
      </c>
      <c r="R296" s="11">
        <f t="shared" si="20"/>
        <v>6</v>
      </c>
      <c r="S296" s="15">
        <v>0.051</v>
      </c>
      <c r="T296" s="11">
        <v>24.58</v>
      </c>
      <c r="U296" s="22">
        <f t="shared" si="21"/>
        <v>37.25</v>
      </c>
      <c r="V296" s="4"/>
      <c r="W296" s="4">
        <f t="shared" si="4"/>
        <v>35.18</v>
      </c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9">
        <v>221.0</v>
      </c>
      <c r="B297" s="9" t="s">
        <v>48</v>
      </c>
      <c r="C297" s="9" t="s">
        <v>35</v>
      </c>
      <c r="D297" s="9" t="s">
        <v>36</v>
      </c>
      <c r="E297" s="10">
        <v>59.4</v>
      </c>
      <c r="F297" s="11" t="s">
        <v>22</v>
      </c>
      <c r="G297" s="12">
        <f t="shared" ref="G297:G300" si="81">2.77+0.65</f>
        <v>3.42</v>
      </c>
      <c r="H297" s="13">
        <v>21.0</v>
      </c>
      <c r="I297" s="13">
        <v>16.65</v>
      </c>
      <c r="J297" s="13">
        <v>60.0</v>
      </c>
      <c r="K297" s="13">
        <v>1.25</v>
      </c>
      <c r="L297" s="11">
        <v>5.0</v>
      </c>
      <c r="M297" s="11">
        <v>0.02</v>
      </c>
      <c r="N297" s="14">
        <v>0.12</v>
      </c>
      <c r="O297" s="13">
        <v>8.69</v>
      </c>
      <c r="P297" s="11">
        <v>1.0</v>
      </c>
      <c r="Q297" s="11">
        <v>0.03</v>
      </c>
      <c r="R297" s="11">
        <f t="shared" si="20"/>
        <v>6</v>
      </c>
      <c r="S297" s="15">
        <v>0.101</v>
      </c>
      <c r="T297" s="11">
        <v>25.98</v>
      </c>
      <c r="U297" s="22">
        <f t="shared" si="21"/>
        <v>52.59</v>
      </c>
      <c r="V297" s="4"/>
      <c r="W297" s="4">
        <f t="shared" si="4"/>
        <v>49.17</v>
      </c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18"/>
      <c r="B298" s="18"/>
      <c r="C298" s="18"/>
      <c r="D298" s="18"/>
      <c r="E298" s="18"/>
      <c r="F298" s="11" t="s">
        <v>23</v>
      </c>
      <c r="G298" s="12">
        <f t="shared" si="81"/>
        <v>3.42</v>
      </c>
      <c r="H298" s="13">
        <v>21.0</v>
      </c>
      <c r="I298" s="13">
        <v>16.65</v>
      </c>
      <c r="J298" s="13">
        <v>60.0</v>
      </c>
      <c r="K298" s="13">
        <v>1.25</v>
      </c>
      <c r="L298" s="11">
        <v>5.0</v>
      </c>
      <c r="M298" s="11">
        <v>0.06</v>
      </c>
      <c r="N298" s="14">
        <v>0.1</v>
      </c>
      <c r="O298" s="13">
        <v>8.69</v>
      </c>
      <c r="P298" s="11">
        <v>1.0</v>
      </c>
      <c r="Q298" s="11">
        <v>0.02</v>
      </c>
      <c r="R298" s="21">
        <f t="shared" si="20"/>
        <v>6</v>
      </c>
      <c r="S298" s="15">
        <v>0.101</v>
      </c>
      <c r="T298" s="11">
        <v>25.48</v>
      </c>
      <c r="U298" s="22">
        <f t="shared" si="21"/>
        <v>52.13</v>
      </c>
      <c r="V298" s="4"/>
      <c r="W298" s="4">
        <f t="shared" si="4"/>
        <v>48.71</v>
      </c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18"/>
      <c r="B299" s="18"/>
      <c r="C299" s="18"/>
      <c r="D299" s="18"/>
      <c r="E299" s="18"/>
      <c r="F299" s="11" t="s">
        <v>24</v>
      </c>
      <c r="G299" s="12">
        <f t="shared" si="81"/>
        <v>3.42</v>
      </c>
      <c r="H299" s="13">
        <v>21.0</v>
      </c>
      <c r="I299" s="13">
        <v>16.65</v>
      </c>
      <c r="J299" s="13">
        <v>60.0</v>
      </c>
      <c r="K299" s="13">
        <v>1.25</v>
      </c>
      <c r="L299" s="11">
        <v>1.0</v>
      </c>
      <c r="M299" s="11">
        <v>0.0</v>
      </c>
      <c r="N299" s="14">
        <v>0.0</v>
      </c>
      <c r="O299" s="13">
        <v>8.69</v>
      </c>
      <c r="P299" s="11">
        <v>0.0</v>
      </c>
      <c r="Q299" s="11">
        <v>0.0</v>
      </c>
      <c r="R299" s="21">
        <f t="shared" si="20"/>
        <v>1</v>
      </c>
      <c r="S299" s="15">
        <v>0.0168</v>
      </c>
      <c r="T299" s="11">
        <v>3.86</v>
      </c>
      <c r="U299" s="22">
        <f t="shared" si="21"/>
        <v>30.45</v>
      </c>
      <c r="V299" s="4"/>
      <c r="W299" s="4">
        <f t="shared" si="4"/>
        <v>27.03</v>
      </c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19"/>
      <c r="B300" s="19"/>
      <c r="C300" s="19"/>
      <c r="D300" s="19"/>
      <c r="E300" s="19"/>
      <c r="F300" s="11" t="s">
        <v>25</v>
      </c>
      <c r="G300" s="12">
        <f t="shared" si="81"/>
        <v>3.42</v>
      </c>
      <c r="H300" s="13">
        <v>21.0</v>
      </c>
      <c r="I300" s="13">
        <v>16.65</v>
      </c>
      <c r="J300" s="13">
        <v>60.0</v>
      </c>
      <c r="K300" s="13">
        <v>1.25</v>
      </c>
      <c r="L300" s="11">
        <v>9.0</v>
      </c>
      <c r="M300" s="11">
        <v>0.09</v>
      </c>
      <c r="N300" s="14">
        <v>0.17</v>
      </c>
      <c r="O300" s="13">
        <v>8.69</v>
      </c>
      <c r="P300" s="11">
        <v>0.0</v>
      </c>
      <c r="Q300" s="11">
        <v>0.0</v>
      </c>
      <c r="R300" s="11">
        <f t="shared" si="20"/>
        <v>9</v>
      </c>
      <c r="S300" s="15">
        <v>0.1515</v>
      </c>
      <c r="T300" s="11">
        <v>38.2</v>
      </c>
      <c r="U300" s="22">
        <f t="shared" si="21"/>
        <v>64.88</v>
      </c>
      <c r="V300" s="4"/>
      <c r="W300" s="4">
        <f t="shared" si="4"/>
        <v>61.46</v>
      </c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9">
        <v>222.0</v>
      </c>
      <c r="B301" s="9" t="s">
        <v>48</v>
      </c>
      <c r="C301" s="9" t="s">
        <v>35</v>
      </c>
      <c r="D301" s="9" t="s">
        <v>36</v>
      </c>
      <c r="E301" s="10">
        <v>52.1</v>
      </c>
      <c r="F301" s="11" t="s">
        <v>22</v>
      </c>
      <c r="G301" s="12">
        <f t="shared" ref="G301:G304" si="82">2.9+0.22</f>
        <v>3.12</v>
      </c>
      <c r="H301" s="13">
        <v>21.0</v>
      </c>
      <c r="I301" s="13">
        <v>4.53</v>
      </c>
      <c r="J301" s="13">
        <v>54.0</v>
      </c>
      <c r="K301" s="13">
        <v>1.21</v>
      </c>
      <c r="L301" s="11">
        <v>3.0</v>
      </c>
      <c r="M301" s="11">
        <v>0.02</v>
      </c>
      <c r="N301" s="14">
        <v>0.07</v>
      </c>
      <c r="O301" s="13">
        <v>2.7</v>
      </c>
      <c r="P301" s="11">
        <v>1.0</v>
      </c>
      <c r="Q301" s="11">
        <v>0.04</v>
      </c>
      <c r="R301" s="11">
        <f t="shared" si="20"/>
        <v>4</v>
      </c>
      <c r="S301" s="15">
        <v>0.0768</v>
      </c>
      <c r="T301" s="11">
        <v>17.57</v>
      </c>
      <c r="U301" s="22">
        <f t="shared" si="21"/>
        <v>26.03</v>
      </c>
      <c r="V301" s="4"/>
      <c r="W301" s="4">
        <f t="shared" si="4"/>
        <v>22.91</v>
      </c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18"/>
      <c r="B302" s="18"/>
      <c r="C302" s="18"/>
      <c r="D302" s="18"/>
      <c r="E302" s="18"/>
      <c r="F302" s="11" t="s">
        <v>23</v>
      </c>
      <c r="G302" s="12">
        <f t="shared" si="82"/>
        <v>3.12</v>
      </c>
      <c r="H302" s="13">
        <v>21.0</v>
      </c>
      <c r="I302" s="13">
        <v>4.53</v>
      </c>
      <c r="J302" s="13">
        <v>54.0</v>
      </c>
      <c r="K302" s="13">
        <v>1.21</v>
      </c>
      <c r="L302" s="11">
        <v>2.0</v>
      </c>
      <c r="M302" s="11">
        <v>0.05</v>
      </c>
      <c r="N302" s="14">
        <v>0.06</v>
      </c>
      <c r="O302" s="13">
        <v>2.7</v>
      </c>
      <c r="P302" s="11">
        <v>0.0</v>
      </c>
      <c r="Q302" s="11">
        <v>0.0</v>
      </c>
      <c r="R302" s="21">
        <f t="shared" si="20"/>
        <v>2</v>
      </c>
      <c r="S302" s="15">
        <v>0.0384</v>
      </c>
      <c r="T302" s="11">
        <v>8.72</v>
      </c>
      <c r="U302" s="22">
        <f t="shared" si="21"/>
        <v>17.21</v>
      </c>
      <c r="V302" s="4"/>
      <c r="W302" s="4">
        <f t="shared" si="4"/>
        <v>14.09</v>
      </c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18"/>
      <c r="B303" s="18"/>
      <c r="C303" s="18"/>
      <c r="D303" s="18"/>
      <c r="E303" s="18"/>
      <c r="F303" s="11" t="s">
        <v>24</v>
      </c>
      <c r="G303" s="12">
        <f t="shared" si="82"/>
        <v>3.12</v>
      </c>
      <c r="H303" s="13">
        <v>21.0</v>
      </c>
      <c r="I303" s="13">
        <v>4.53</v>
      </c>
      <c r="J303" s="13">
        <v>54.0</v>
      </c>
      <c r="K303" s="13">
        <v>1.21</v>
      </c>
      <c r="L303" s="11">
        <v>6.0</v>
      </c>
      <c r="M303" s="11">
        <v>0.0</v>
      </c>
      <c r="N303" s="14">
        <v>0.0</v>
      </c>
      <c r="O303" s="13">
        <v>2.7</v>
      </c>
      <c r="P303" s="11">
        <v>0.0</v>
      </c>
      <c r="Q303" s="11">
        <v>0.0</v>
      </c>
      <c r="R303" s="21">
        <f t="shared" si="20"/>
        <v>6</v>
      </c>
      <c r="S303" s="15">
        <v>0.1152</v>
      </c>
      <c r="T303" s="11">
        <v>23.6</v>
      </c>
      <c r="U303" s="22">
        <f t="shared" si="21"/>
        <v>32.04</v>
      </c>
      <c r="V303" s="4"/>
      <c r="W303" s="4">
        <f t="shared" si="4"/>
        <v>28.92</v>
      </c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19"/>
      <c r="B304" s="19"/>
      <c r="C304" s="19"/>
      <c r="D304" s="19"/>
      <c r="E304" s="19"/>
      <c r="F304" s="11" t="s">
        <v>25</v>
      </c>
      <c r="G304" s="12">
        <f t="shared" si="82"/>
        <v>3.12</v>
      </c>
      <c r="H304" s="13">
        <v>21.0</v>
      </c>
      <c r="I304" s="13">
        <v>4.53</v>
      </c>
      <c r="J304" s="13">
        <v>54.0</v>
      </c>
      <c r="K304" s="13">
        <v>1.21</v>
      </c>
      <c r="L304" s="11">
        <v>5.0</v>
      </c>
      <c r="M304" s="11">
        <v>0.06</v>
      </c>
      <c r="N304" s="14">
        <v>0.07</v>
      </c>
      <c r="O304" s="13">
        <v>2.7</v>
      </c>
      <c r="P304" s="11">
        <v>1.0</v>
      </c>
      <c r="Q304" s="11">
        <v>0.04</v>
      </c>
      <c r="R304" s="11">
        <f t="shared" si="20"/>
        <v>6</v>
      </c>
      <c r="S304" s="15">
        <v>0.1152</v>
      </c>
      <c r="T304" s="11">
        <v>25.8</v>
      </c>
      <c r="U304" s="22">
        <f t="shared" si="21"/>
        <v>34.3</v>
      </c>
      <c r="V304" s="4"/>
      <c r="W304" s="4">
        <f t="shared" si="4"/>
        <v>31.18</v>
      </c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9">
        <v>223.0</v>
      </c>
      <c r="B305" s="9" t="s">
        <v>48</v>
      </c>
      <c r="C305" s="9" t="s">
        <v>35</v>
      </c>
      <c r="D305" s="9" t="s">
        <v>36</v>
      </c>
      <c r="E305" s="10">
        <v>58.2</v>
      </c>
      <c r="F305" s="11" t="s">
        <v>22</v>
      </c>
      <c r="G305" s="12">
        <f t="shared" ref="G305:G308" si="83">1.96+0.22</f>
        <v>2.18</v>
      </c>
      <c r="H305" s="13">
        <v>21.0</v>
      </c>
      <c r="I305" s="13">
        <v>4.06</v>
      </c>
      <c r="J305" s="13">
        <v>59.0</v>
      </c>
      <c r="K305" s="13">
        <v>1.3</v>
      </c>
      <c r="L305" s="11">
        <v>5.0</v>
      </c>
      <c r="M305" s="11">
        <v>0.02</v>
      </c>
      <c r="N305" s="14">
        <v>0.12</v>
      </c>
      <c r="O305" s="13">
        <v>16.65</v>
      </c>
      <c r="P305" s="11">
        <v>0.0</v>
      </c>
      <c r="Q305" s="11">
        <v>0.0</v>
      </c>
      <c r="R305" s="11">
        <f t="shared" si="20"/>
        <v>5</v>
      </c>
      <c r="S305" s="15">
        <v>0.0859</v>
      </c>
      <c r="T305" s="11">
        <v>21.85</v>
      </c>
      <c r="U305" s="22">
        <f t="shared" si="21"/>
        <v>43.88</v>
      </c>
      <c r="V305" s="4"/>
      <c r="W305" s="4">
        <f t="shared" si="4"/>
        <v>41.7</v>
      </c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18"/>
      <c r="B306" s="18"/>
      <c r="C306" s="18"/>
      <c r="D306" s="18"/>
      <c r="E306" s="18"/>
      <c r="F306" s="11" t="s">
        <v>23</v>
      </c>
      <c r="G306" s="12">
        <f t="shared" si="83"/>
        <v>2.18</v>
      </c>
      <c r="H306" s="13">
        <v>21.0</v>
      </c>
      <c r="I306" s="13">
        <v>4.06</v>
      </c>
      <c r="J306" s="13">
        <v>59.0</v>
      </c>
      <c r="K306" s="13">
        <v>1.3</v>
      </c>
      <c r="L306" s="11">
        <v>5.0</v>
      </c>
      <c r="M306" s="11">
        <v>0.05</v>
      </c>
      <c r="N306" s="14">
        <v>0.12</v>
      </c>
      <c r="O306" s="13">
        <v>16.65</v>
      </c>
      <c r="P306" s="11">
        <v>0.0</v>
      </c>
      <c r="Q306" s="11">
        <v>0.0</v>
      </c>
      <c r="R306" s="21">
        <f t="shared" si="20"/>
        <v>5</v>
      </c>
      <c r="S306" s="15">
        <v>0.0859</v>
      </c>
      <c r="T306" s="11">
        <v>21.76</v>
      </c>
      <c r="U306" s="22">
        <f t="shared" si="21"/>
        <v>43.82</v>
      </c>
      <c r="V306" s="4"/>
      <c r="W306" s="4">
        <f t="shared" si="4"/>
        <v>41.64</v>
      </c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18"/>
      <c r="B307" s="18"/>
      <c r="C307" s="18"/>
      <c r="D307" s="18"/>
      <c r="E307" s="18"/>
      <c r="F307" s="11" t="s">
        <v>24</v>
      </c>
      <c r="G307" s="12">
        <f t="shared" si="83"/>
        <v>2.18</v>
      </c>
      <c r="H307" s="13">
        <v>21.0</v>
      </c>
      <c r="I307" s="13">
        <v>4.06</v>
      </c>
      <c r="J307" s="13">
        <v>59.0</v>
      </c>
      <c r="K307" s="13">
        <v>1.3</v>
      </c>
      <c r="L307" s="11">
        <v>1.0</v>
      </c>
      <c r="M307" s="11">
        <v>0.0</v>
      </c>
      <c r="N307" s="14">
        <v>0.0</v>
      </c>
      <c r="O307" s="13">
        <v>16.65</v>
      </c>
      <c r="P307" s="11">
        <v>0.0</v>
      </c>
      <c r="Q307" s="11">
        <v>0.0</v>
      </c>
      <c r="R307" s="21">
        <f t="shared" si="20"/>
        <v>1</v>
      </c>
      <c r="S307" s="15">
        <v>0.0172</v>
      </c>
      <c r="T307" s="11">
        <v>3.89</v>
      </c>
      <c r="U307" s="22">
        <f t="shared" si="21"/>
        <v>25.9</v>
      </c>
      <c r="V307" s="4"/>
      <c r="W307" s="4">
        <f t="shared" si="4"/>
        <v>23.72</v>
      </c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19"/>
      <c r="B308" s="19"/>
      <c r="C308" s="19"/>
      <c r="D308" s="19"/>
      <c r="E308" s="19"/>
      <c r="F308" s="11" t="s">
        <v>25</v>
      </c>
      <c r="G308" s="12">
        <f t="shared" si="83"/>
        <v>2.18</v>
      </c>
      <c r="H308" s="13">
        <v>21.0</v>
      </c>
      <c r="I308" s="13">
        <v>4.06</v>
      </c>
      <c r="J308" s="13">
        <v>59.0</v>
      </c>
      <c r="K308" s="13">
        <v>1.3</v>
      </c>
      <c r="L308" s="11">
        <v>6.0</v>
      </c>
      <c r="M308" s="11">
        <v>0.08</v>
      </c>
      <c r="N308" s="14">
        <v>0.13</v>
      </c>
      <c r="O308" s="13">
        <v>16.65</v>
      </c>
      <c r="P308" s="11">
        <v>0.0</v>
      </c>
      <c r="Q308" s="11">
        <v>0.0</v>
      </c>
      <c r="R308" s="11">
        <f t="shared" si="20"/>
        <v>6</v>
      </c>
      <c r="S308" s="15">
        <v>0.1031</v>
      </c>
      <c r="T308" s="11">
        <v>25.95</v>
      </c>
      <c r="U308" s="22">
        <f t="shared" si="21"/>
        <v>48.04</v>
      </c>
      <c r="V308" s="4"/>
      <c r="W308" s="4">
        <f t="shared" si="4"/>
        <v>45.86</v>
      </c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9">
        <v>231.0</v>
      </c>
      <c r="B309" s="9" t="s">
        <v>48</v>
      </c>
      <c r="C309" s="9" t="s">
        <v>35</v>
      </c>
      <c r="D309" s="9" t="s">
        <v>37</v>
      </c>
      <c r="E309" s="10">
        <v>27.5</v>
      </c>
      <c r="F309" s="11" t="s">
        <v>22</v>
      </c>
      <c r="G309" s="13">
        <f t="shared" ref="G309:G312" si="84">2.72+0.2</f>
        <v>2.92</v>
      </c>
      <c r="H309" s="13">
        <v>21.0</v>
      </c>
      <c r="I309" s="13">
        <v>4.32</v>
      </c>
      <c r="J309" s="13">
        <v>29.0</v>
      </c>
      <c r="K309" s="13">
        <v>0.64</v>
      </c>
      <c r="L309" s="11">
        <v>4.0</v>
      </c>
      <c r="M309" s="11">
        <v>0.01</v>
      </c>
      <c r="N309" s="14">
        <v>0.07</v>
      </c>
      <c r="O309" s="13">
        <v>1.46</v>
      </c>
      <c r="P309" s="11">
        <v>0.0</v>
      </c>
      <c r="Q309" s="11">
        <v>0.0</v>
      </c>
      <c r="R309" s="11">
        <f t="shared" si="20"/>
        <v>4</v>
      </c>
      <c r="S309" s="15">
        <v>0.1455</v>
      </c>
      <c r="T309" s="11">
        <v>17.15</v>
      </c>
      <c r="U309" s="22">
        <f t="shared" si="21"/>
        <v>23.58</v>
      </c>
      <c r="V309" s="4"/>
      <c r="W309" s="4">
        <f t="shared" si="4"/>
        <v>20.66</v>
      </c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18"/>
      <c r="B310" s="18"/>
      <c r="C310" s="18"/>
      <c r="D310" s="18"/>
      <c r="E310" s="18"/>
      <c r="F310" s="11" t="s">
        <v>23</v>
      </c>
      <c r="G310" s="13">
        <f t="shared" si="84"/>
        <v>2.92</v>
      </c>
      <c r="H310" s="13">
        <v>21.0</v>
      </c>
      <c r="I310" s="13">
        <v>4.32</v>
      </c>
      <c r="J310" s="13">
        <v>29.0</v>
      </c>
      <c r="K310" s="13">
        <v>0.64</v>
      </c>
      <c r="L310" s="11">
        <v>4.0</v>
      </c>
      <c r="M310" s="11">
        <v>0.03</v>
      </c>
      <c r="N310" s="14">
        <v>0.07</v>
      </c>
      <c r="O310" s="13">
        <v>1.46</v>
      </c>
      <c r="P310" s="11">
        <v>0.0</v>
      </c>
      <c r="Q310" s="11">
        <v>0.0</v>
      </c>
      <c r="R310" s="21">
        <f t="shared" si="20"/>
        <v>4</v>
      </c>
      <c r="S310" s="15">
        <v>0.1455</v>
      </c>
      <c r="T310" s="11">
        <v>17.23</v>
      </c>
      <c r="U310" s="22">
        <f t="shared" si="21"/>
        <v>23.68</v>
      </c>
      <c r="V310" s="4"/>
      <c r="W310" s="4">
        <f t="shared" si="4"/>
        <v>20.76</v>
      </c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18"/>
      <c r="B311" s="18"/>
      <c r="C311" s="18"/>
      <c r="D311" s="18"/>
      <c r="E311" s="18"/>
      <c r="F311" s="11" t="s">
        <v>24</v>
      </c>
      <c r="G311" s="13">
        <f t="shared" si="84"/>
        <v>2.92</v>
      </c>
      <c r="H311" s="13">
        <v>21.0</v>
      </c>
      <c r="I311" s="13">
        <v>4.32</v>
      </c>
      <c r="J311" s="13">
        <v>29.0</v>
      </c>
      <c r="K311" s="13">
        <v>0.64</v>
      </c>
      <c r="L311" s="11">
        <v>3.0</v>
      </c>
      <c r="M311" s="11">
        <v>0.0</v>
      </c>
      <c r="N311" s="14">
        <v>0.0</v>
      </c>
      <c r="O311" s="13">
        <v>1.46</v>
      </c>
      <c r="P311" s="11">
        <v>0.0</v>
      </c>
      <c r="Q311" s="11">
        <v>0.0</v>
      </c>
      <c r="R311" s="21">
        <f t="shared" si="20"/>
        <v>3</v>
      </c>
      <c r="S311" s="15">
        <v>0.1091</v>
      </c>
      <c r="T311" s="11">
        <v>11.74</v>
      </c>
      <c r="U311" s="22">
        <f t="shared" si="21"/>
        <v>18.16</v>
      </c>
      <c r="V311" s="4"/>
      <c r="W311" s="4">
        <f t="shared" si="4"/>
        <v>15.24</v>
      </c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19"/>
      <c r="B312" s="19"/>
      <c r="C312" s="19"/>
      <c r="D312" s="19"/>
      <c r="E312" s="19"/>
      <c r="F312" s="11" t="s">
        <v>25</v>
      </c>
      <c r="G312" s="13">
        <f t="shared" si="84"/>
        <v>2.92</v>
      </c>
      <c r="H312" s="13">
        <v>21.0</v>
      </c>
      <c r="I312" s="13">
        <v>4.32</v>
      </c>
      <c r="J312" s="13">
        <v>29.0</v>
      </c>
      <c r="K312" s="13">
        <v>0.64</v>
      </c>
      <c r="L312" s="11">
        <v>4.0</v>
      </c>
      <c r="M312" s="11">
        <v>0.03</v>
      </c>
      <c r="N312" s="14">
        <v>0.05</v>
      </c>
      <c r="O312" s="13">
        <v>1.46</v>
      </c>
      <c r="P312" s="11">
        <v>0.0</v>
      </c>
      <c r="Q312" s="11">
        <v>0.0</v>
      </c>
      <c r="R312" s="11">
        <f t="shared" si="20"/>
        <v>4</v>
      </c>
      <c r="S312" s="15">
        <v>0.1455</v>
      </c>
      <c r="T312" s="11">
        <v>17.22</v>
      </c>
      <c r="U312" s="22">
        <f t="shared" si="21"/>
        <v>23.67</v>
      </c>
      <c r="V312" s="4"/>
      <c r="W312" s="4">
        <f t="shared" si="4"/>
        <v>20.75</v>
      </c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9">
        <v>232.0</v>
      </c>
      <c r="B313" s="9" t="s">
        <v>48</v>
      </c>
      <c r="C313" s="9" t="s">
        <v>35</v>
      </c>
      <c r="D313" s="9" t="s">
        <v>37</v>
      </c>
      <c r="E313" s="10">
        <v>48.0</v>
      </c>
      <c r="F313" s="11" t="s">
        <v>22</v>
      </c>
      <c r="G313" s="12">
        <f t="shared" ref="G313:G316" si="85">1.68+0.21</f>
        <v>1.89</v>
      </c>
      <c r="H313" s="13">
        <v>21.0</v>
      </c>
      <c r="I313" s="13">
        <v>4.52</v>
      </c>
      <c r="J313" s="13">
        <v>48.0</v>
      </c>
      <c r="K313" s="13">
        <v>1.06</v>
      </c>
      <c r="L313" s="11">
        <v>4.0</v>
      </c>
      <c r="M313" s="11">
        <v>0.02</v>
      </c>
      <c r="N313" s="14">
        <v>0.1</v>
      </c>
      <c r="O313" s="13">
        <v>4.96</v>
      </c>
      <c r="P313" s="11">
        <v>0.0</v>
      </c>
      <c r="Q313" s="11">
        <v>0.0</v>
      </c>
      <c r="R313" s="11">
        <f t="shared" si="20"/>
        <v>4</v>
      </c>
      <c r="S313" s="15">
        <v>0.0833</v>
      </c>
      <c r="T313" s="11">
        <v>17.22</v>
      </c>
      <c r="U313" s="22">
        <f t="shared" si="21"/>
        <v>27.78</v>
      </c>
      <c r="V313" s="4"/>
      <c r="W313" s="4">
        <f t="shared" si="4"/>
        <v>25.89</v>
      </c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18"/>
      <c r="B314" s="18"/>
      <c r="C314" s="18"/>
      <c r="D314" s="18"/>
      <c r="E314" s="18"/>
      <c r="F314" s="11" t="s">
        <v>23</v>
      </c>
      <c r="G314" s="12">
        <f t="shared" si="85"/>
        <v>1.89</v>
      </c>
      <c r="H314" s="13">
        <v>21.0</v>
      </c>
      <c r="I314" s="13">
        <v>4.52</v>
      </c>
      <c r="J314" s="13">
        <v>48.0</v>
      </c>
      <c r="K314" s="13">
        <v>1.06</v>
      </c>
      <c r="L314" s="11">
        <v>4.0</v>
      </c>
      <c r="M314" s="11">
        <v>0.04</v>
      </c>
      <c r="N314" s="14">
        <v>0.1</v>
      </c>
      <c r="O314" s="13">
        <v>4.96</v>
      </c>
      <c r="P314" s="11">
        <v>0.0</v>
      </c>
      <c r="Q314" s="11">
        <v>0.0</v>
      </c>
      <c r="R314" s="21">
        <f t="shared" si="20"/>
        <v>4</v>
      </c>
      <c r="S314" s="15">
        <v>0.0833</v>
      </c>
      <c r="T314" s="11">
        <v>17.26</v>
      </c>
      <c r="U314" s="22">
        <f t="shared" si="21"/>
        <v>27.84</v>
      </c>
      <c r="V314" s="4"/>
      <c r="W314" s="4">
        <f t="shared" si="4"/>
        <v>25.95</v>
      </c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18"/>
      <c r="B315" s="18"/>
      <c r="C315" s="18"/>
      <c r="D315" s="18"/>
      <c r="E315" s="18"/>
      <c r="F315" s="11" t="s">
        <v>24</v>
      </c>
      <c r="G315" s="12">
        <f t="shared" si="85"/>
        <v>1.89</v>
      </c>
      <c r="H315" s="13">
        <v>21.0</v>
      </c>
      <c r="I315" s="13">
        <v>4.52</v>
      </c>
      <c r="J315" s="13">
        <v>48.0</v>
      </c>
      <c r="K315" s="13">
        <v>1.06</v>
      </c>
      <c r="L315" s="11">
        <v>5.0</v>
      </c>
      <c r="M315" s="11">
        <v>0.0</v>
      </c>
      <c r="N315" s="14">
        <v>0.0</v>
      </c>
      <c r="O315" s="13">
        <v>4.96</v>
      </c>
      <c r="P315" s="11">
        <v>0.0</v>
      </c>
      <c r="Q315" s="11">
        <v>0.0</v>
      </c>
      <c r="R315" s="21">
        <f t="shared" si="20"/>
        <v>5</v>
      </c>
      <c r="S315" s="15">
        <v>0.1042</v>
      </c>
      <c r="T315" s="11">
        <v>19.59</v>
      </c>
      <c r="U315" s="22">
        <f t="shared" si="21"/>
        <v>30.13</v>
      </c>
      <c r="V315" s="4"/>
      <c r="W315" s="4">
        <f t="shared" si="4"/>
        <v>28.24</v>
      </c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19"/>
      <c r="B316" s="19"/>
      <c r="C316" s="19"/>
      <c r="D316" s="19"/>
      <c r="E316" s="19"/>
      <c r="F316" s="11" t="s">
        <v>25</v>
      </c>
      <c r="G316" s="12">
        <f t="shared" si="85"/>
        <v>1.89</v>
      </c>
      <c r="H316" s="13">
        <v>21.0</v>
      </c>
      <c r="I316" s="13">
        <v>4.52</v>
      </c>
      <c r="J316" s="13">
        <v>48.0</v>
      </c>
      <c r="K316" s="13">
        <v>1.06</v>
      </c>
      <c r="L316" s="11">
        <v>4.0</v>
      </c>
      <c r="M316" s="11">
        <v>0.05</v>
      </c>
      <c r="N316" s="14">
        <v>0.08</v>
      </c>
      <c r="O316" s="13">
        <v>4.96</v>
      </c>
      <c r="P316" s="11">
        <v>1.0</v>
      </c>
      <c r="Q316" s="11">
        <v>0.03</v>
      </c>
      <c r="R316" s="11">
        <f t="shared" si="20"/>
        <v>5</v>
      </c>
      <c r="S316" s="15">
        <v>0.1042</v>
      </c>
      <c r="T316" s="11">
        <v>21.74</v>
      </c>
      <c r="U316" s="22">
        <f t="shared" si="21"/>
        <v>32.33</v>
      </c>
      <c r="V316" s="4"/>
      <c r="W316" s="4">
        <f t="shared" si="4"/>
        <v>30.44</v>
      </c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9">
        <v>233.0</v>
      </c>
      <c r="B317" s="9" t="s">
        <v>48</v>
      </c>
      <c r="C317" s="9" t="s">
        <v>35</v>
      </c>
      <c r="D317" s="9" t="s">
        <v>37</v>
      </c>
      <c r="E317" s="10">
        <v>51.6</v>
      </c>
      <c r="F317" s="11" t="s">
        <v>22</v>
      </c>
      <c r="G317" s="13">
        <f t="shared" ref="G317:G320" si="86">1.55+0.22</f>
        <v>1.77</v>
      </c>
      <c r="H317" s="13">
        <v>21.0</v>
      </c>
      <c r="I317" s="13">
        <v>4.52</v>
      </c>
      <c r="J317" s="13">
        <v>52.0</v>
      </c>
      <c r="K317" s="13">
        <v>1.1</v>
      </c>
      <c r="L317" s="11">
        <v>5.0</v>
      </c>
      <c r="M317" s="11">
        <v>0.02</v>
      </c>
      <c r="N317" s="14">
        <v>0.07</v>
      </c>
      <c r="O317" s="13">
        <v>4.73</v>
      </c>
      <c r="P317" s="11">
        <v>0.0</v>
      </c>
      <c r="Q317" s="11">
        <v>0.0</v>
      </c>
      <c r="R317" s="11">
        <f t="shared" si="20"/>
        <v>5</v>
      </c>
      <c r="S317" s="15">
        <v>0.0969</v>
      </c>
      <c r="T317" s="11">
        <v>21.59</v>
      </c>
      <c r="U317" s="22">
        <f t="shared" si="21"/>
        <v>31.96</v>
      </c>
      <c r="V317" s="4"/>
      <c r="W317" s="4">
        <f t="shared" si="4"/>
        <v>30.19</v>
      </c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18"/>
      <c r="B318" s="18"/>
      <c r="C318" s="18"/>
      <c r="D318" s="18"/>
      <c r="E318" s="18"/>
      <c r="F318" s="11" t="s">
        <v>23</v>
      </c>
      <c r="G318" s="13">
        <f t="shared" si="86"/>
        <v>1.77</v>
      </c>
      <c r="H318" s="13">
        <v>21.0</v>
      </c>
      <c r="I318" s="13">
        <v>4.52</v>
      </c>
      <c r="J318" s="13">
        <v>52.0</v>
      </c>
      <c r="K318" s="13">
        <v>1.1</v>
      </c>
      <c r="L318" s="11">
        <v>3.0</v>
      </c>
      <c r="M318" s="11">
        <v>0.05</v>
      </c>
      <c r="N318" s="14">
        <v>0.04</v>
      </c>
      <c r="O318" s="13">
        <v>4.73</v>
      </c>
      <c r="P318" s="11">
        <v>0.0</v>
      </c>
      <c r="Q318" s="11">
        <v>0.0</v>
      </c>
      <c r="R318" s="21">
        <f t="shared" si="20"/>
        <v>3</v>
      </c>
      <c r="S318" s="15">
        <v>0.0581</v>
      </c>
      <c r="T318" s="11">
        <v>12.91</v>
      </c>
      <c r="U318" s="22">
        <f t="shared" si="21"/>
        <v>23.31</v>
      </c>
      <c r="V318" s="4"/>
      <c r="W318" s="4">
        <f t="shared" si="4"/>
        <v>21.54</v>
      </c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18"/>
      <c r="B319" s="18"/>
      <c r="C319" s="18"/>
      <c r="D319" s="18"/>
      <c r="E319" s="18"/>
      <c r="F319" s="11" t="s">
        <v>24</v>
      </c>
      <c r="G319" s="13">
        <f t="shared" si="86"/>
        <v>1.77</v>
      </c>
      <c r="H319" s="13">
        <v>21.0</v>
      </c>
      <c r="I319" s="13">
        <v>4.52</v>
      </c>
      <c r="J319" s="13">
        <v>52.0</v>
      </c>
      <c r="K319" s="13">
        <v>1.1</v>
      </c>
      <c r="L319" s="11">
        <v>0.0</v>
      </c>
      <c r="M319" s="11">
        <v>0.0</v>
      </c>
      <c r="N319" s="14">
        <v>0.0</v>
      </c>
      <c r="O319" s="13">
        <v>4.73</v>
      </c>
      <c r="P319" s="11">
        <v>0.0</v>
      </c>
      <c r="Q319" s="11">
        <v>0.0</v>
      </c>
      <c r="R319" s="21">
        <f t="shared" si="20"/>
        <v>0</v>
      </c>
      <c r="S319" s="15">
        <v>0.0</v>
      </c>
      <c r="T319" s="11">
        <v>0.0</v>
      </c>
      <c r="U319" s="22">
        <f t="shared" si="21"/>
        <v>10.35</v>
      </c>
      <c r="V319" s="4"/>
      <c r="W319" s="4">
        <f t="shared" si="4"/>
        <v>8.58</v>
      </c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19"/>
      <c r="B320" s="19"/>
      <c r="C320" s="19"/>
      <c r="D320" s="19"/>
      <c r="E320" s="19"/>
      <c r="F320" s="11" t="s">
        <v>25</v>
      </c>
      <c r="G320" s="13">
        <f t="shared" si="86"/>
        <v>1.77</v>
      </c>
      <c r="H320" s="13">
        <v>21.0</v>
      </c>
      <c r="I320" s="13">
        <v>4.52</v>
      </c>
      <c r="J320" s="13">
        <v>52.0</v>
      </c>
      <c r="K320" s="13">
        <v>1.1</v>
      </c>
      <c r="L320" s="11">
        <v>7.0</v>
      </c>
      <c r="M320" s="11">
        <v>0.07</v>
      </c>
      <c r="N320" s="14">
        <v>0.1</v>
      </c>
      <c r="O320" s="13">
        <v>4.73</v>
      </c>
      <c r="P320" s="11">
        <v>0.0</v>
      </c>
      <c r="Q320" s="11">
        <v>0.0</v>
      </c>
      <c r="R320" s="11">
        <f t="shared" si="20"/>
        <v>7</v>
      </c>
      <c r="S320" s="15">
        <v>0.1357</v>
      </c>
      <c r="T320" s="11">
        <v>30.16</v>
      </c>
      <c r="U320" s="22">
        <f t="shared" si="21"/>
        <v>40.58</v>
      </c>
      <c r="V320" s="4"/>
      <c r="W320" s="4">
        <f t="shared" si="4"/>
        <v>38.81</v>
      </c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9">
        <v>251.0</v>
      </c>
      <c r="B321" s="9" t="s">
        <v>48</v>
      </c>
      <c r="C321" s="9" t="s">
        <v>35</v>
      </c>
      <c r="D321" s="9" t="s">
        <v>38</v>
      </c>
      <c r="E321" s="10">
        <v>81.6</v>
      </c>
      <c r="F321" s="11" t="s">
        <v>22</v>
      </c>
      <c r="G321" s="12">
        <f t="shared" ref="G321:G324" si="87">2.94+0.78</f>
        <v>3.72</v>
      </c>
      <c r="H321" s="13">
        <v>43.0</v>
      </c>
      <c r="I321" s="13">
        <v>14.06</v>
      </c>
      <c r="J321" s="13">
        <v>82.0</v>
      </c>
      <c r="K321" s="13">
        <v>1.96</v>
      </c>
      <c r="L321" s="11">
        <v>5.0</v>
      </c>
      <c r="M321" s="11">
        <v>0.03</v>
      </c>
      <c r="N321" s="14">
        <v>0.15</v>
      </c>
      <c r="O321" s="13">
        <v>7.45</v>
      </c>
      <c r="P321" s="11">
        <v>1.0</v>
      </c>
      <c r="Q321" s="11">
        <v>0.03</v>
      </c>
      <c r="R321" s="11">
        <f t="shared" si="20"/>
        <v>6</v>
      </c>
      <c r="S321" s="15">
        <v>0.0735</v>
      </c>
      <c r="T321" s="11">
        <v>25.15</v>
      </c>
      <c r="U321" s="22">
        <f t="shared" si="21"/>
        <v>48.65</v>
      </c>
      <c r="V321" s="4"/>
      <c r="W321" s="4">
        <f t="shared" si="4"/>
        <v>44.93</v>
      </c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18"/>
      <c r="B322" s="18"/>
      <c r="C322" s="18"/>
      <c r="D322" s="18"/>
      <c r="E322" s="18"/>
      <c r="F322" s="11" t="s">
        <v>23</v>
      </c>
      <c r="G322" s="12">
        <f t="shared" si="87"/>
        <v>3.72</v>
      </c>
      <c r="H322" s="13">
        <v>43.0</v>
      </c>
      <c r="I322" s="13">
        <v>14.06</v>
      </c>
      <c r="J322" s="13">
        <v>82.0</v>
      </c>
      <c r="K322" s="13">
        <v>1.96</v>
      </c>
      <c r="L322" s="11">
        <v>5.0</v>
      </c>
      <c r="M322" s="11">
        <v>0.07</v>
      </c>
      <c r="N322" s="14">
        <v>0.15</v>
      </c>
      <c r="O322" s="13">
        <v>7.45</v>
      </c>
      <c r="P322" s="11">
        <v>1.0</v>
      </c>
      <c r="Q322" s="11">
        <v>0.03</v>
      </c>
      <c r="R322" s="21">
        <f t="shared" si="20"/>
        <v>6</v>
      </c>
      <c r="S322" s="15">
        <v>0.0735</v>
      </c>
      <c r="T322" s="11">
        <v>24.56</v>
      </c>
      <c r="U322" s="22">
        <f t="shared" si="21"/>
        <v>48.1</v>
      </c>
      <c r="V322" s="4"/>
      <c r="W322" s="4">
        <f t="shared" si="4"/>
        <v>44.38</v>
      </c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18"/>
      <c r="B323" s="18"/>
      <c r="C323" s="18"/>
      <c r="D323" s="18"/>
      <c r="E323" s="18"/>
      <c r="F323" s="11" t="s">
        <v>24</v>
      </c>
      <c r="G323" s="12">
        <f t="shared" si="87"/>
        <v>3.72</v>
      </c>
      <c r="H323" s="13">
        <v>43.0</v>
      </c>
      <c r="I323" s="13">
        <v>14.06</v>
      </c>
      <c r="J323" s="13">
        <v>82.0</v>
      </c>
      <c r="K323" s="13">
        <v>1.96</v>
      </c>
      <c r="L323" s="11">
        <v>11.0</v>
      </c>
      <c r="M323" s="11">
        <v>0.0</v>
      </c>
      <c r="N323" s="14">
        <v>0.0</v>
      </c>
      <c r="O323" s="13">
        <v>7.45</v>
      </c>
      <c r="P323" s="11">
        <v>0.0</v>
      </c>
      <c r="Q323" s="11">
        <v>0.0</v>
      </c>
      <c r="R323" s="21">
        <f t="shared" si="20"/>
        <v>11</v>
      </c>
      <c r="S323" s="15">
        <v>0.1348</v>
      </c>
      <c r="T323" s="11">
        <v>40.84</v>
      </c>
      <c r="U323" s="22">
        <f t="shared" si="21"/>
        <v>64.31</v>
      </c>
      <c r="V323" s="4"/>
      <c r="W323" s="4">
        <f t="shared" si="4"/>
        <v>60.59</v>
      </c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19"/>
      <c r="B324" s="19"/>
      <c r="C324" s="19"/>
      <c r="D324" s="19"/>
      <c r="E324" s="19"/>
      <c r="F324" s="11" t="s">
        <v>25</v>
      </c>
      <c r="G324" s="12">
        <f t="shared" si="87"/>
        <v>3.72</v>
      </c>
      <c r="H324" s="13">
        <v>43.0</v>
      </c>
      <c r="I324" s="13">
        <v>14.06</v>
      </c>
      <c r="J324" s="13">
        <v>82.0</v>
      </c>
      <c r="K324" s="13">
        <v>1.96</v>
      </c>
      <c r="L324" s="11">
        <v>8.0</v>
      </c>
      <c r="M324" s="11">
        <v>0.13</v>
      </c>
      <c r="N324" s="14">
        <v>0.13</v>
      </c>
      <c r="O324" s="13">
        <v>7.45</v>
      </c>
      <c r="P324" s="11">
        <v>1.0</v>
      </c>
      <c r="Q324" s="11">
        <v>0.02</v>
      </c>
      <c r="R324" s="11">
        <f t="shared" si="20"/>
        <v>9</v>
      </c>
      <c r="S324" s="15">
        <v>0.1103</v>
      </c>
      <c r="T324" s="11">
        <v>37.12</v>
      </c>
      <c r="U324" s="22">
        <f t="shared" si="21"/>
        <v>60.72</v>
      </c>
      <c r="V324" s="4"/>
      <c r="W324" s="4">
        <f t="shared" si="4"/>
        <v>57</v>
      </c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9">
        <v>252.0</v>
      </c>
      <c r="B325" s="9" t="s">
        <v>48</v>
      </c>
      <c r="C325" s="9" t="s">
        <v>35</v>
      </c>
      <c r="D325" s="9" t="s">
        <v>38</v>
      </c>
      <c r="E325" s="10">
        <v>108.8</v>
      </c>
      <c r="F325" s="11" t="s">
        <v>22</v>
      </c>
      <c r="G325" s="12">
        <f t="shared" ref="G325:G328" si="88">2.6+0.33</f>
        <v>2.93</v>
      </c>
      <c r="H325" s="13">
        <v>62.0</v>
      </c>
      <c r="I325" s="13">
        <v>5.18</v>
      </c>
      <c r="J325" s="13">
        <v>109.0</v>
      </c>
      <c r="K325" s="13">
        <v>2.4</v>
      </c>
      <c r="L325" s="11">
        <v>6.0</v>
      </c>
      <c r="M325" s="11">
        <v>0.04</v>
      </c>
      <c r="N325" s="14">
        <v>0.12</v>
      </c>
      <c r="O325" s="13">
        <v>4.25</v>
      </c>
      <c r="P325" s="11">
        <v>1.0</v>
      </c>
      <c r="Q325" s="11">
        <v>0.03</v>
      </c>
      <c r="R325" s="11">
        <f t="shared" si="20"/>
        <v>7</v>
      </c>
      <c r="S325" s="15">
        <v>0.0643</v>
      </c>
      <c r="T325" s="11">
        <v>28.82</v>
      </c>
      <c r="U325" s="22">
        <f t="shared" si="21"/>
        <v>40.69</v>
      </c>
      <c r="V325" s="4"/>
      <c r="W325" s="4">
        <f t="shared" si="4"/>
        <v>37.76</v>
      </c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18"/>
      <c r="B326" s="18"/>
      <c r="C326" s="18"/>
      <c r="D326" s="18"/>
      <c r="E326" s="18"/>
      <c r="F326" s="11" t="s">
        <v>23</v>
      </c>
      <c r="G326" s="12">
        <f t="shared" si="88"/>
        <v>2.93</v>
      </c>
      <c r="H326" s="13">
        <v>62.0</v>
      </c>
      <c r="I326" s="13">
        <v>5.18</v>
      </c>
      <c r="J326" s="13">
        <v>109.0</v>
      </c>
      <c r="K326" s="13">
        <v>2.4</v>
      </c>
      <c r="L326" s="11">
        <v>5.0</v>
      </c>
      <c r="M326" s="11">
        <v>0.09</v>
      </c>
      <c r="N326" s="14">
        <v>0.12</v>
      </c>
      <c r="O326" s="13">
        <v>4.25</v>
      </c>
      <c r="P326" s="11">
        <v>1.0</v>
      </c>
      <c r="Q326" s="11">
        <v>0.04</v>
      </c>
      <c r="R326" s="21">
        <f t="shared" si="20"/>
        <v>6</v>
      </c>
      <c r="S326" s="15">
        <v>0.0551</v>
      </c>
      <c r="T326" s="11">
        <v>24.73</v>
      </c>
      <c r="U326" s="22">
        <f t="shared" si="21"/>
        <v>36.65</v>
      </c>
      <c r="V326" s="4"/>
      <c r="W326" s="4">
        <f t="shared" si="4"/>
        <v>33.72</v>
      </c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18"/>
      <c r="B327" s="18"/>
      <c r="C327" s="18"/>
      <c r="D327" s="18"/>
      <c r="E327" s="18"/>
      <c r="F327" s="11" t="s">
        <v>24</v>
      </c>
      <c r="G327" s="12">
        <f t="shared" si="88"/>
        <v>2.93</v>
      </c>
      <c r="H327" s="13">
        <v>62.0</v>
      </c>
      <c r="I327" s="13">
        <v>5.18</v>
      </c>
      <c r="J327" s="13">
        <v>109.0</v>
      </c>
      <c r="K327" s="13">
        <v>2.4</v>
      </c>
      <c r="L327" s="11">
        <v>11.0</v>
      </c>
      <c r="M327" s="11">
        <v>0.0</v>
      </c>
      <c r="N327" s="14">
        <v>0.0</v>
      </c>
      <c r="O327" s="13">
        <v>4.25</v>
      </c>
      <c r="P327" s="11">
        <v>0.0</v>
      </c>
      <c r="Q327" s="11">
        <v>0.0</v>
      </c>
      <c r="R327" s="21">
        <f t="shared" si="20"/>
        <v>11</v>
      </c>
      <c r="S327" s="15">
        <v>0.1011</v>
      </c>
      <c r="T327" s="11">
        <v>41.07</v>
      </c>
      <c r="U327" s="22">
        <f t="shared" si="21"/>
        <v>52.9</v>
      </c>
      <c r="V327" s="4"/>
      <c r="W327" s="4">
        <f t="shared" si="4"/>
        <v>49.97</v>
      </c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19"/>
      <c r="B328" s="19"/>
      <c r="C328" s="19"/>
      <c r="D328" s="19"/>
      <c r="E328" s="19"/>
      <c r="F328" s="11" t="s">
        <v>25</v>
      </c>
      <c r="G328" s="12">
        <f t="shared" si="88"/>
        <v>2.93</v>
      </c>
      <c r="H328" s="13">
        <v>62.0</v>
      </c>
      <c r="I328" s="13">
        <v>5.18</v>
      </c>
      <c r="J328" s="13">
        <v>109.0</v>
      </c>
      <c r="K328" s="13">
        <v>2.4</v>
      </c>
      <c r="L328" s="11">
        <v>9.0</v>
      </c>
      <c r="M328" s="11">
        <v>0.21</v>
      </c>
      <c r="N328" s="14">
        <v>0.12</v>
      </c>
      <c r="O328" s="13">
        <v>4.25</v>
      </c>
      <c r="P328" s="11">
        <v>0.0</v>
      </c>
      <c r="Q328" s="11">
        <v>0.0</v>
      </c>
      <c r="R328" s="11">
        <f t="shared" si="20"/>
        <v>9</v>
      </c>
      <c r="S328" s="15">
        <v>0.0827</v>
      </c>
      <c r="T328" s="11">
        <v>37.26</v>
      </c>
      <c r="U328" s="22">
        <f t="shared" si="21"/>
        <v>49.3</v>
      </c>
      <c r="V328" s="4"/>
      <c r="W328" s="4">
        <f t="shared" si="4"/>
        <v>46.37</v>
      </c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9">
        <v>253.0</v>
      </c>
      <c r="B329" s="9" t="s">
        <v>48</v>
      </c>
      <c r="C329" s="9" t="s">
        <v>35</v>
      </c>
      <c r="D329" s="9" t="s">
        <v>38</v>
      </c>
      <c r="E329" s="10">
        <v>119.5</v>
      </c>
      <c r="F329" s="11" t="s">
        <v>22</v>
      </c>
      <c r="G329" s="12">
        <f t="shared" ref="G329:G332" si="89">1.31+0.32</f>
        <v>1.63</v>
      </c>
      <c r="H329" s="13">
        <v>62.0</v>
      </c>
      <c r="I329" s="13">
        <v>4.76</v>
      </c>
      <c r="J329" s="13">
        <v>120.0</v>
      </c>
      <c r="K329" s="13">
        <v>2.36</v>
      </c>
      <c r="L329" s="11">
        <v>5.0</v>
      </c>
      <c r="M329" s="11">
        <v>0.05</v>
      </c>
      <c r="N329" s="14">
        <v>0.09</v>
      </c>
      <c r="O329" s="13">
        <v>7.48</v>
      </c>
      <c r="P329" s="11">
        <v>2.0</v>
      </c>
      <c r="Q329" s="11">
        <v>0.06</v>
      </c>
      <c r="R329" s="11">
        <f t="shared" si="20"/>
        <v>7</v>
      </c>
      <c r="S329" s="15">
        <v>0.0586</v>
      </c>
      <c r="T329" s="11">
        <v>29.12</v>
      </c>
      <c r="U329" s="22">
        <f t="shared" si="21"/>
        <v>43.77</v>
      </c>
      <c r="V329" s="4"/>
      <c r="W329" s="4">
        <f t="shared" si="4"/>
        <v>42.14</v>
      </c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18"/>
      <c r="B330" s="18"/>
      <c r="C330" s="18"/>
      <c r="D330" s="18"/>
      <c r="E330" s="18"/>
      <c r="F330" s="11" t="s">
        <v>23</v>
      </c>
      <c r="G330" s="12">
        <f t="shared" si="89"/>
        <v>1.63</v>
      </c>
      <c r="H330" s="13">
        <v>62.0</v>
      </c>
      <c r="I330" s="13">
        <v>4.76</v>
      </c>
      <c r="J330" s="13">
        <v>120.0</v>
      </c>
      <c r="K330" s="13">
        <v>2.36</v>
      </c>
      <c r="L330" s="11">
        <v>5.0</v>
      </c>
      <c r="M330" s="11">
        <v>0.1</v>
      </c>
      <c r="N330" s="14">
        <v>0.09</v>
      </c>
      <c r="O330" s="13">
        <v>7.48</v>
      </c>
      <c r="P330" s="11">
        <v>2.0</v>
      </c>
      <c r="Q330" s="11">
        <v>0.06</v>
      </c>
      <c r="R330" s="21">
        <f t="shared" si="20"/>
        <v>7</v>
      </c>
      <c r="S330" s="15">
        <v>0.0586</v>
      </c>
      <c r="T330" s="11">
        <v>29.02</v>
      </c>
      <c r="U330" s="22">
        <f t="shared" si="21"/>
        <v>43.72</v>
      </c>
      <c r="V330" s="4"/>
      <c r="W330" s="4">
        <f t="shared" si="4"/>
        <v>42.09</v>
      </c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18"/>
      <c r="B331" s="18"/>
      <c r="C331" s="18"/>
      <c r="D331" s="18"/>
      <c r="E331" s="18"/>
      <c r="F331" s="11" t="s">
        <v>24</v>
      </c>
      <c r="G331" s="12">
        <f t="shared" si="89"/>
        <v>1.63</v>
      </c>
      <c r="H331" s="13">
        <v>62.0</v>
      </c>
      <c r="I331" s="13">
        <v>4.76</v>
      </c>
      <c r="J331" s="13">
        <v>120.0</v>
      </c>
      <c r="K331" s="13">
        <v>2.36</v>
      </c>
      <c r="L331" s="11">
        <v>12.0</v>
      </c>
      <c r="M331" s="11">
        <v>0.0</v>
      </c>
      <c r="N331" s="14">
        <v>0.0</v>
      </c>
      <c r="O331" s="13">
        <v>7.48</v>
      </c>
      <c r="P331" s="11">
        <v>0.0</v>
      </c>
      <c r="Q331" s="11">
        <v>0.0</v>
      </c>
      <c r="R331" s="21">
        <f t="shared" si="20"/>
        <v>12</v>
      </c>
      <c r="S331" s="15">
        <v>0.1004</v>
      </c>
      <c r="T331" s="11">
        <v>45.04</v>
      </c>
      <c r="U331" s="22">
        <f t="shared" si="21"/>
        <v>59.64</v>
      </c>
      <c r="V331" s="4"/>
      <c r="W331" s="4">
        <f t="shared" si="4"/>
        <v>58.01</v>
      </c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19"/>
      <c r="B332" s="19"/>
      <c r="C332" s="19"/>
      <c r="D332" s="19"/>
      <c r="E332" s="19"/>
      <c r="F332" s="11" t="s">
        <v>25</v>
      </c>
      <c r="G332" s="12">
        <f t="shared" si="89"/>
        <v>1.63</v>
      </c>
      <c r="H332" s="13">
        <v>62.0</v>
      </c>
      <c r="I332" s="13">
        <v>4.76</v>
      </c>
      <c r="J332" s="13">
        <v>120.0</v>
      </c>
      <c r="K332" s="13">
        <v>2.36</v>
      </c>
      <c r="L332" s="11">
        <v>8.0</v>
      </c>
      <c r="M332" s="11">
        <v>0.16</v>
      </c>
      <c r="N332" s="14">
        <v>0.12</v>
      </c>
      <c r="O332" s="13">
        <v>7.48</v>
      </c>
      <c r="P332" s="11">
        <v>1.0</v>
      </c>
      <c r="Q332" s="11">
        <v>0.03</v>
      </c>
      <c r="R332" s="11">
        <f t="shared" si="20"/>
        <v>9</v>
      </c>
      <c r="S332" s="15">
        <v>0.0753</v>
      </c>
      <c r="T332" s="11">
        <v>37.19</v>
      </c>
      <c r="U332" s="22">
        <f t="shared" si="21"/>
        <v>51.95</v>
      </c>
      <c r="V332" s="4"/>
      <c r="W332" s="4">
        <f t="shared" si="4"/>
        <v>50.32</v>
      </c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9">
        <v>261.0</v>
      </c>
      <c r="B333" s="9" t="s">
        <v>48</v>
      </c>
      <c r="C333" s="9" t="s">
        <v>35</v>
      </c>
      <c r="D333" s="9" t="s">
        <v>39</v>
      </c>
      <c r="E333" s="10">
        <v>30.4</v>
      </c>
      <c r="F333" s="11" t="s">
        <v>22</v>
      </c>
      <c r="G333" s="13">
        <f t="shared" ref="G333:G336" si="90">3.02+0.17</f>
        <v>3.19</v>
      </c>
      <c r="H333" s="13">
        <v>21.0</v>
      </c>
      <c r="I333" s="13">
        <v>3.86</v>
      </c>
      <c r="J333" s="13">
        <v>32.0</v>
      </c>
      <c r="K333" s="13">
        <v>0.7</v>
      </c>
      <c r="L333" s="11">
        <v>6.0</v>
      </c>
      <c r="M333" s="11">
        <v>0.01</v>
      </c>
      <c r="N333" s="14">
        <v>0.11</v>
      </c>
      <c r="O333" s="13">
        <v>2.65</v>
      </c>
      <c r="P333" s="11">
        <v>0.0</v>
      </c>
      <c r="Q333" s="11">
        <v>0.0</v>
      </c>
      <c r="R333" s="11">
        <f t="shared" si="20"/>
        <v>6</v>
      </c>
      <c r="S333" s="15">
        <v>0.1974</v>
      </c>
      <c r="T333" s="11">
        <v>24.7</v>
      </c>
      <c r="U333" s="22">
        <f t="shared" si="21"/>
        <v>31.92</v>
      </c>
      <c r="V333" s="4"/>
      <c r="W333" s="4">
        <f t="shared" si="4"/>
        <v>28.73</v>
      </c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18"/>
      <c r="B334" s="18"/>
      <c r="C334" s="18"/>
      <c r="D334" s="18"/>
      <c r="E334" s="18"/>
      <c r="F334" s="11" t="s">
        <v>23</v>
      </c>
      <c r="G334" s="13">
        <f t="shared" si="90"/>
        <v>3.19</v>
      </c>
      <c r="H334" s="13">
        <v>21.0</v>
      </c>
      <c r="I334" s="13">
        <v>3.86</v>
      </c>
      <c r="J334" s="13">
        <v>32.0</v>
      </c>
      <c r="K334" s="13">
        <v>0.7</v>
      </c>
      <c r="L334" s="11">
        <v>5.0</v>
      </c>
      <c r="M334" s="11">
        <v>0.03</v>
      </c>
      <c r="N334" s="14">
        <v>0.09</v>
      </c>
      <c r="O334" s="13">
        <v>2.65</v>
      </c>
      <c r="P334" s="11">
        <v>0.0</v>
      </c>
      <c r="Q334" s="11">
        <v>0.0</v>
      </c>
      <c r="R334" s="21">
        <f t="shared" si="20"/>
        <v>5</v>
      </c>
      <c r="S334" s="15">
        <v>0.1645</v>
      </c>
      <c r="T334" s="11">
        <v>20.52</v>
      </c>
      <c r="U334" s="22">
        <f t="shared" si="21"/>
        <v>27.76</v>
      </c>
      <c r="V334" s="4"/>
      <c r="W334" s="4">
        <f t="shared" si="4"/>
        <v>24.57</v>
      </c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18"/>
      <c r="B335" s="18"/>
      <c r="C335" s="18"/>
      <c r="D335" s="18"/>
      <c r="E335" s="18"/>
      <c r="F335" s="11" t="s">
        <v>24</v>
      </c>
      <c r="G335" s="13">
        <f t="shared" si="90"/>
        <v>3.19</v>
      </c>
      <c r="H335" s="13">
        <v>21.0</v>
      </c>
      <c r="I335" s="13">
        <v>3.86</v>
      </c>
      <c r="J335" s="13">
        <v>32.0</v>
      </c>
      <c r="K335" s="13">
        <v>0.7</v>
      </c>
      <c r="L335" s="11">
        <v>1.0</v>
      </c>
      <c r="M335" s="11">
        <v>0.0</v>
      </c>
      <c r="N335" s="14">
        <v>0.0</v>
      </c>
      <c r="O335" s="13">
        <v>2.65</v>
      </c>
      <c r="P335" s="11">
        <v>0.0</v>
      </c>
      <c r="Q335" s="11">
        <v>0.0</v>
      </c>
      <c r="R335" s="21">
        <f t="shared" si="20"/>
        <v>1</v>
      </c>
      <c r="S335" s="15">
        <v>0.0329</v>
      </c>
      <c r="T335" s="11">
        <v>3.81</v>
      </c>
      <c r="U335" s="22">
        <f t="shared" si="21"/>
        <v>11.02</v>
      </c>
      <c r="V335" s="4"/>
      <c r="W335" s="4">
        <f t="shared" si="4"/>
        <v>7.83</v>
      </c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19"/>
      <c r="B336" s="19"/>
      <c r="C336" s="19"/>
      <c r="D336" s="19"/>
      <c r="E336" s="19"/>
      <c r="F336" s="11" t="s">
        <v>25</v>
      </c>
      <c r="G336" s="13">
        <f t="shared" si="90"/>
        <v>3.19</v>
      </c>
      <c r="H336" s="13">
        <v>21.0</v>
      </c>
      <c r="I336" s="13">
        <v>3.86</v>
      </c>
      <c r="J336" s="13">
        <v>32.0</v>
      </c>
      <c r="K336" s="13">
        <v>0.7</v>
      </c>
      <c r="L336" s="11">
        <v>7.0</v>
      </c>
      <c r="M336" s="11">
        <v>0.04</v>
      </c>
      <c r="N336" s="14">
        <v>0.11</v>
      </c>
      <c r="O336" s="13">
        <v>2.65</v>
      </c>
      <c r="P336" s="11">
        <v>0.0</v>
      </c>
      <c r="Q336" s="11">
        <v>0.0</v>
      </c>
      <c r="R336" s="11">
        <f t="shared" si="20"/>
        <v>7</v>
      </c>
      <c r="S336" s="15">
        <v>0.2303</v>
      </c>
      <c r="T336" s="11">
        <v>29.11</v>
      </c>
      <c r="U336" s="22">
        <f t="shared" si="21"/>
        <v>36.36</v>
      </c>
      <c r="V336" s="4"/>
      <c r="W336" s="4">
        <f t="shared" si="4"/>
        <v>33.17</v>
      </c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9">
        <v>262.0</v>
      </c>
      <c r="B337" s="9" t="s">
        <v>48</v>
      </c>
      <c r="C337" s="9" t="s">
        <v>35</v>
      </c>
      <c r="D337" s="9" t="s">
        <v>39</v>
      </c>
      <c r="E337" s="10">
        <v>46.7</v>
      </c>
      <c r="F337" s="11" t="s">
        <v>22</v>
      </c>
      <c r="G337" s="12">
        <f t="shared" ref="G337:G340" si="91">3.18+0.21</f>
        <v>3.39</v>
      </c>
      <c r="H337" s="13">
        <v>21.0</v>
      </c>
      <c r="I337" s="13">
        <v>4.14</v>
      </c>
      <c r="J337" s="13">
        <v>47.0</v>
      </c>
      <c r="K337" s="13">
        <v>1.21</v>
      </c>
      <c r="L337" s="11">
        <v>15.0</v>
      </c>
      <c r="M337" s="11">
        <v>0.03</v>
      </c>
      <c r="N337" s="14">
        <v>0.23</v>
      </c>
      <c r="O337" s="13">
        <v>3.33</v>
      </c>
      <c r="P337" s="11">
        <v>0.0</v>
      </c>
      <c r="Q337" s="11">
        <v>0.0</v>
      </c>
      <c r="R337" s="11">
        <f t="shared" si="20"/>
        <v>15</v>
      </c>
      <c r="S337" s="15">
        <v>0.3212</v>
      </c>
      <c r="T337" s="11">
        <v>62.69</v>
      </c>
      <c r="U337" s="22">
        <f t="shared" si="21"/>
        <v>71.4</v>
      </c>
      <c r="V337" s="4"/>
      <c r="W337" s="4">
        <f t="shared" si="4"/>
        <v>68.01</v>
      </c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18"/>
      <c r="B338" s="18"/>
      <c r="C338" s="18"/>
      <c r="D338" s="18"/>
      <c r="E338" s="18"/>
      <c r="F338" s="11" t="s">
        <v>23</v>
      </c>
      <c r="G338" s="12">
        <f t="shared" si="91"/>
        <v>3.39</v>
      </c>
      <c r="H338" s="13">
        <v>21.0</v>
      </c>
      <c r="I338" s="13">
        <v>4.14</v>
      </c>
      <c r="J338" s="13">
        <v>47.0</v>
      </c>
      <c r="K338" s="13">
        <v>1.21</v>
      </c>
      <c r="L338" s="11">
        <v>8.0</v>
      </c>
      <c r="M338" s="11">
        <v>0.04</v>
      </c>
      <c r="N338" s="14">
        <v>0.14</v>
      </c>
      <c r="O338" s="13">
        <v>3.33</v>
      </c>
      <c r="P338" s="11">
        <v>0.0</v>
      </c>
      <c r="Q338" s="11">
        <v>0.0</v>
      </c>
      <c r="R338" s="21">
        <f t="shared" si="20"/>
        <v>8</v>
      </c>
      <c r="S338" s="15">
        <v>0.1713</v>
      </c>
      <c r="T338" s="11">
        <v>33.31</v>
      </c>
      <c r="U338" s="22">
        <f t="shared" si="21"/>
        <v>42.03</v>
      </c>
      <c r="V338" s="4"/>
      <c r="W338" s="4">
        <f t="shared" si="4"/>
        <v>38.64</v>
      </c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18"/>
      <c r="B339" s="18"/>
      <c r="C339" s="18"/>
      <c r="D339" s="18"/>
      <c r="E339" s="18"/>
      <c r="F339" s="11" t="s">
        <v>24</v>
      </c>
      <c r="G339" s="12">
        <f t="shared" si="91"/>
        <v>3.39</v>
      </c>
      <c r="H339" s="13">
        <v>21.0</v>
      </c>
      <c r="I339" s="13">
        <v>4.14</v>
      </c>
      <c r="J339" s="13">
        <v>47.0</v>
      </c>
      <c r="K339" s="13">
        <v>1.21</v>
      </c>
      <c r="L339" s="11">
        <v>2.0</v>
      </c>
      <c r="M339" s="11">
        <v>0.0</v>
      </c>
      <c r="N339" s="14">
        <v>0.0</v>
      </c>
      <c r="O339" s="13">
        <v>3.33</v>
      </c>
      <c r="P339" s="11">
        <v>0.0</v>
      </c>
      <c r="Q339" s="11">
        <v>0.0</v>
      </c>
      <c r="R339" s="21">
        <f t="shared" si="20"/>
        <v>2</v>
      </c>
      <c r="S339" s="15">
        <v>0.0428</v>
      </c>
      <c r="T339" s="11">
        <v>7.56</v>
      </c>
      <c r="U339" s="22">
        <f t="shared" si="21"/>
        <v>16.24</v>
      </c>
      <c r="V339" s="4"/>
      <c r="W339" s="4">
        <f t="shared" si="4"/>
        <v>12.85</v>
      </c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19"/>
      <c r="B340" s="19"/>
      <c r="C340" s="19"/>
      <c r="D340" s="19"/>
      <c r="E340" s="19"/>
      <c r="F340" s="11" t="s">
        <v>25</v>
      </c>
      <c r="G340" s="12">
        <f t="shared" si="91"/>
        <v>3.39</v>
      </c>
      <c r="H340" s="13">
        <v>21.0</v>
      </c>
      <c r="I340" s="13">
        <v>4.14</v>
      </c>
      <c r="J340" s="13">
        <v>47.0</v>
      </c>
      <c r="K340" s="13">
        <v>1.21</v>
      </c>
      <c r="L340" s="11">
        <v>15.0</v>
      </c>
      <c r="M340" s="11">
        <v>0.14</v>
      </c>
      <c r="N340" s="14">
        <v>0.24</v>
      </c>
      <c r="O340" s="13">
        <v>3.33</v>
      </c>
      <c r="P340" s="11">
        <v>0.0</v>
      </c>
      <c r="Q340" s="11">
        <v>0.0</v>
      </c>
      <c r="R340" s="11">
        <f t="shared" si="20"/>
        <v>15</v>
      </c>
      <c r="S340" s="15">
        <v>0.3212</v>
      </c>
      <c r="T340" s="11">
        <v>62.69</v>
      </c>
      <c r="U340" s="22">
        <f t="shared" si="21"/>
        <v>71.51</v>
      </c>
      <c r="V340" s="4"/>
      <c r="W340" s="4">
        <f t="shared" si="4"/>
        <v>68.12</v>
      </c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9">
        <v>263.0</v>
      </c>
      <c r="B341" s="9" t="s">
        <v>48</v>
      </c>
      <c r="C341" s="9" t="s">
        <v>35</v>
      </c>
      <c r="D341" s="9" t="s">
        <v>39</v>
      </c>
      <c r="E341" s="10">
        <v>58.7</v>
      </c>
      <c r="F341" s="11" t="s">
        <v>22</v>
      </c>
      <c r="G341" s="13">
        <f t="shared" ref="G341:G344" si="92">4.24+0.27</f>
        <v>4.51</v>
      </c>
      <c r="H341" s="13">
        <v>21.0</v>
      </c>
      <c r="I341" s="13">
        <v>4.24</v>
      </c>
      <c r="J341" s="13">
        <v>59.0</v>
      </c>
      <c r="K341" s="13">
        <v>1.47</v>
      </c>
      <c r="L341" s="11">
        <v>5.0</v>
      </c>
      <c r="M341" s="11">
        <v>0.02</v>
      </c>
      <c r="N341" s="14">
        <v>0.1</v>
      </c>
      <c r="O341" s="13">
        <v>1.76</v>
      </c>
      <c r="P341" s="11">
        <v>0.0</v>
      </c>
      <c r="Q341" s="11">
        <v>0.0</v>
      </c>
      <c r="R341" s="11">
        <f t="shared" si="20"/>
        <v>5</v>
      </c>
      <c r="S341" s="15">
        <v>0.0852</v>
      </c>
      <c r="T341" s="11">
        <v>20.7</v>
      </c>
      <c r="U341" s="22">
        <f t="shared" si="21"/>
        <v>28.19</v>
      </c>
      <c r="V341" s="4"/>
      <c r="W341" s="4">
        <f t="shared" si="4"/>
        <v>23.68</v>
      </c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18"/>
      <c r="B342" s="18"/>
      <c r="C342" s="18"/>
      <c r="D342" s="18"/>
      <c r="E342" s="18"/>
      <c r="F342" s="11" t="s">
        <v>23</v>
      </c>
      <c r="G342" s="13">
        <f t="shared" si="92"/>
        <v>4.51</v>
      </c>
      <c r="H342" s="13">
        <v>21.0</v>
      </c>
      <c r="I342" s="13">
        <v>4.24</v>
      </c>
      <c r="J342" s="13">
        <v>59.0</v>
      </c>
      <c r="K342" s="13">
        <v>1.47</v>
      </c>
      <c r="L342" s="11">
        <v>5.0</v>
      </c>
      <c r="M342" s="11">
        <v>0.05</v>
      </c>
      <c r="N342" s="14">
        <v>0.1</v>
      </c>
      <c r="O342" s="13">
        <v>1.76</v>
      </c>
      <c r="P342" s="11">
        <v>0.0</v>
      </c>
      <c r="Q342" s="11">
        <v>0.0</v>
      </c>
      <c r="R342" s="21">
        <f t="shared" si="20"/>
        <v>5</v>
      </c>
      <c r="S342" s="15">
        <v>0.0852</v>
      </c>
      <c r="T342" s="11">
        <v>20.75</v>
      </c>
      <c r="U342" s="22">
        <f t="shared" si="21"/>
        <v>28.27</v>
      </c>
      <c r="V342" s="4"/>
      <c r="W342" s="4">
        <f t="shared" si="4"/>
        <v>23.76</v>
      </c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18"/>
      <c r="B343" s="18"/>
      <c r="C343" s="18"/>
      <c r="D343" s="18"/>
      <c r="E343" s="18"/>
      <c r="F343" s="11" t="s">
        <v>24</v>
      </c>
      <c r="G343" s="13">
        <f t="shared" si="92"/>
        <v>4.51</v>
      </c>
      <c r="H343" s="13">
        <v>21.0</v>
      </c>
      <c r="I343" s="13">
        <v>4.24</v>
      </c>
      <c r="J343" s="13">
        <v>59.0</v>
      </c>
      <c r="K343" s="13">
        <v>1.47</v>
      </c>
      <c r="L343" s="11">
        <v>1.0</v>
      </c>
      <c r="M343" s="11">
        <v>0.0</v>
      </c>
      <c r="N343" s="14">
        <v>0.0</v>
      </c>
      <c r="O343" s="13">
        <v>1.76</v>
      </c>
      <c r="P343" s="11">
        <v>0.0</v>
      </c>
      <c r="Q343" s="11">
        <v>0.0</v>
      </c>
      <c r="R343" s="21">
        <f t="shared" si="20"/>
        <v>1</v>
      </c>
      <c r="S343" s="15">
        <v>0.017</v>
      </c>
      <c r="T343" s="11">
        <v>3.77</v>
      </c>
      <c r="U343" s="22">
        <f t="shared" si="21"/>
        <v>11.24</v>
      </c>
      <c r="V343" s="4"/>
      <c r="W343" s="4">
        <f t="shared" si="4"/>
        <v>6.73</v>
      </c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19"/>
      <c r="B344" s="19"/>
      <c r="C344" s="19"/>
      <c r="D344" s="19"/>
      <c r="E344" s="19"/>
      <c r="F344" s="11" t="s">
        <v>25</v>
      </c>
      <c r="G344" s="13">
        <f t="shared" si="92"/>
        <v>4.51</v>
      </c>
      <c r="H344" s="13">
        <v>21.0</v>
      </c>
      <c r="I344" s="13">
        <v>4.24</v>
      </c>
      <c r="J344" s="13">
        <v>59.0</v>
      </c>
      <c r="K344" s="13">
        <v>1.47</v>
      </c>
      <c r="L344" s="11">
        <v>8.0</v>
      </c>
      <c r="M344" s="11">
        <v>0.09</v>
      </c>
      <c r="N344" s="14">
        <v>0.14</v>
      </c>
      <c r="O344" s="13">
        <v>1.76</v>
      </c>
      <c r="P344" s="11">
        <v>0.0</v>
      </c>
      <c r="Q344" s="11">
        <v>0.0</v>
      </c>
      <c r="R344" s="11">
        <f t="shared" si="20"/>
        <v>8</v>
      </c>
      <c r="S344" s="15">
        <v>0.1363</v>
      </c>
      <c r="T344" s="11">
        <v>32.95</v>
      </c>
      <c r="U344" s="22">
        <f t="shared" si="21"/>
        <v>40.51</v>
      </c>
      <c r="V344" s="4"/>
      <c r="W344" s="4">
        <f t="shared" si="4"/>
        <v>36</v>
      </c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20"/>
      <c r="T345" s="4"/>
      <c r="U345" s="2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20"/>
      <c r="T346" s="4"/>
      <c r="U346" s="2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20"/>
      <c r="T347" s="4"/>
      <c r="U347" s="2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20"/>
      <c r="T348" s="4"/>
      <c r="U348" s="2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20"/>
      <c r="T349" s="4"/>
      <c r="U349" s="2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20"/>
      <c r="T350" s="4"/>
      <c r="U350" s="2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20"/>
      <c r="T351" s="4"/>
      <c r="U351" s="2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20"/>
      <c r="T352" s="4"/>
      <c r="U352" s="2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20"/>
      <c r="T353" s="4"/>
      <c r="U353" s="2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20"/>
      <c r="T354" s="4"/>
      <c r="U354" s="2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20"/>
      <c r="T355" s="4"/>
      <c r="U355" s="2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20"/>
      <c r="T356" s="4"/>
      <c r="U356" s="2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20"/>
      <c r="T357" s="4"/>
      <c r="U357" s="2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20"/>
      <c r="T358" s="4"/>
      <c r="U358" s="2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20"/>
      <c r="T359" s="4"/>
      <c r="U359" s="2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20"/>
      <c r="T360" s="4"/>
      <c r="U360" s="2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20"/>
      <c r="T361" s="4"/>
      <c r="U361" s="2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20"/>
      <c r="T362" s="4"/>
      <c r="U362" s="2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20"/>
      <c r="T363" s="4"/>
      <c r="U363" s="2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20"/>
      <c r="T364" s="4"/>
      <c r="U364" s="2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20"/>
      <c r="T365" s="4"/>
      <c r="U365" s="2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20"/>
      <c r="T366" s="4"/>
      <c r="U366" s="2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20"/>
      <c r="T367" s="4"/>
      <c r="U367" s="2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20"/>
      <c r="T368" s="4"/>
      <c r="U368" s="2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20"/>
      <c r="T369" s="4"/>
      <c r="U369" s="2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20"/>
      <c r="T370" s="4"/>
      <c r="U370" s="2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20"/>
      <c r="T371" s="4"/>
      <c r="U371" s="2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20"/>
      <c r="T372" s="4"/>
      <c r="U372" s="2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20"/>
      <c r="T373" s="4"/>
      <c r="U373" s="2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20"/>
      <c r="T374" s="4"/>
      <c r="U374" s="2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20"/>
      <c r="T375" s="4"/>
      <c r="U375" s="2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20"/>
      <c r="T376" s="4"/>
      <c r="U376" s="2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20"/>
      <c r="T377" s="4"/>
      <c r="U377" s="2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20"/>
      <c r="T378" s="4"/>
      <c r="U378" s="2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20"/>
      <c r="T379" s="4"/>
      <c r="U379" s="2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20"/>
      <c r="T380" s="4"/>
      <c r="U380" s="2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20"/>
      <c r="T381" s="4"/>
      <c r="U381" s="2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20"/>
      <c r="T382" s="4"/>
      <c r="U382" s="2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20"/>
      <c r="T383" s="4"/>
      <c r="U383" s="2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20"/>
      <c r="T384" s="4"/>
      <c r="U384" s="2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20"/>
      <c r="T385" s="4"/>
      <c r="U385" s="2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20"/>
      <c r="T386" s="4"/>
      <c r="U386" s="2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20"/>
      <c r="T387" s="4"/>
      <c r="U387" s="2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20"/>
      <c r="T388" s="4"/>
      <c r="U388" s="2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20"/>
      <c r="T389" s="4"/>
      <c r="U389" s="2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20"/>
      <c r="T390" s="4"/>
      <c r="U390" s="2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20"/>
      <c r="T391" s="4"/>
      <c r="U391" s="2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20"/>
      <c r="T392" s="4"/>
      <c r="U392" s="2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20"/>
      <c r="T393" s="4"/>
      <c r="U393" s="2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20"/>
      <c r="T394" s="4"/>
      <c r="U394" s="2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20"/>
      <c r="T395" s="4"/>
      <c r="U395" s="2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20"/>
      <c r="T396" s="4"/>
      <c r="U396" s="2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20"/>
      <c r="T397" s="4"/>
      <c r="U397" s="2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20"/>
      <c r="T398" s="4"/>
      <c r="U398" s="2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20"/>
      <c r="T399" s="4"/>
      <c r="U399" s="2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20"/>
      <c r="T400" s="4"/>
      <c r="U400" s="2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20"/>
      <c r="T401" s="4"/>
      <c r="U401" s="2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20"/>
      <c r="T402" s="4"/>
      <c r="U402" s="2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20"/>
      <c r="T403" s="4"/>
      <c r="U403" s="2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20"/>
      <c r="T404" s="4"/>
      <c r="U404" s="2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20"/>
      <c r="T405" s="4"/>
      <c r="U405" s="2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20"/>
      <c r="T406" s="4"/>
      <c r="U406" s="2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20"/>
      <c r="T407" s="4"/>
      <c r="U407" s="2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20"/>
      <c r="T408" s="4"/>
      <c r="U408" s="2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20"/>
      <c r="T409" s="4"/>
      <c r="U409" s="2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20"/>
      <c r="T410" s="4"/>
      <c r="U410" s="2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20"/>
      <c r="T411" s="4"/>
      <c r="U411" s="2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20"/>
      <c r="T412" s="4"/>
      <c r="U412" s="2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20"/>
      <c r="T413" s="4"/>
      <c r="U413" s="2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20"/>
      <c r="T414" s="4"/>
      <c r="U414" s="2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20"/>
      <c r="T415" s="4"/>
      <c r="U415" s="2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20"/>
      <c r="T416" s="4"/>
      <c r="U416" s="2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20"/>
      <c r="T417" s="4"/>
      <c r="U417" s="2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20"/>
      <c r="T418" s="4"/>
      <c r="U418" s="2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20"/>
      <c r="T419" s="4"/>
      <c r="U419" s="2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20"/>
      <c r="T420" s="4"/>
      <c r="U420" s="2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20"/>
      <c r="T421" s="4"/>
      <c r="U421" s="2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20"/>
      <c r="T422" s="4"/>
      <c r="U422" s="2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20"/>
      <c r="T423" s="4"/>
      <c r="U423" s="2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20"/>
      <c r="T424" s="4"/>
      <c r="U424" s="2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20"/>
      <c r="T425" s="4"/>
      <c r="U425" s="2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20"/>
      <c r="T426" s="4"/>
      <c r="U426" s="2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20"/>
      <c r="T427" s="4"/>
      <c r="U427" s="2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20"/>
      <c r="T428" s="4"/>
      <c r="U428" s="2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20"/>
      <c r="T429" s="4"/>
      <c r="U429" s="2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20"/>
      <c r="T430" s="4"/>
      <c r="U430" s="2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20"/>
      <c r="T431" s="4"/>
      <c r="U431" s="2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20"/>
      <c r="T432" s="4"/>
      <c r="U432" s="2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20"/>
      <c r="T433" s="4"/>
      <c r="U433" s="2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20"/>
      <c r="T434" s="4"/>
      <c r="U434" s="2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20"/>
      <c r="T435" s="4"/>
      <c r="U435" s="2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20"/>
      <c r="T436" s="4"/>
      <c r="U436" s="2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20"/>
      <c r="T437" s="4"/>
      <c r="U437" s="2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20"/>
      <c r="T438" s="4"/>
      <c r="U438" s="2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20"/>
      <c r="T439" s="4"/>
      <c r="U439" s="2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20"/>
      <c r="T440" s="4"/>
      <c r="U440" s="2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20"/>
      <c r="T441" s="4"/>
      <c r="U441" s="2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20"/>
      <c r="T442" s="4"/>
      <c r="U442" s="2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20"/>
      <c r="T443" s="4"/>
      <c r="U443" s="2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20"/>
      <c r="T444" s="4"/>
      <c r="U444" s="2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20"/>
      <c r="T445" s="4"/>
      <c r="U445" s="2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20"/>
      <c r="T446" s="4"/>
      <c r="U446" s="2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20"/>
      <c r="T447" s="4"/>
      <c r="U447" s="2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20"/>
      <c r="T448" s="4"/>
      <c r="U448" s="2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20"/>
      <c r="T449" s="4"/>
      <c r="U449" s="2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20"/>
      <c r="T450" s="4"/>
      <c r="U450" s="2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20"/>
      <c r="T451" s="4"/>
      <c r="U451" s="2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20"/>
      <c r="T452" s="4"/>
      <c r="U452" s="2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20"/>
      <c r="T453" s="4"/>
      <c r="U453" s="2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20"/>
      <c r="T454" s="4"/>
      <c r="U454" s="2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20"/>
      <c r="T455" s="4"/>
      <c r="U455" s="2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20"/>
      <c r="T456" s="4"/>
      <c r="U456" s="2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20"/>
      <c r="T457" s="4"/>
      <c r="U457" s="2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20"/>
      <c r="T458" s="4"/>
      <c r="U458" s="2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20"/>
      <c r="T459" s="4"/>
      <c r="U459" s="2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20"/>
      <c r="T460" s="4"/>
      <c r="U460" s="2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20"/>
      <c r="T461" s="4"/>
      <c r="U461" s="2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20"/>
      <c r="T462" s="4"/>
      <c r="U462" s="2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20"/>
      <c r="T463" s="4"/>
      <c r="U463" s="2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20"/>
      <c r="T464" s="4"/>
      <c r="U464" s="2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20"/>
      <c r="T465" s="4"/>
      <c r="U465" s="2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20"/>
      <c r="T466" s="4"/>
      <c r="U466" s="2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20"/>
      <c r="T467" s="4"/>
      <c r="U467" s="2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20"/>
      <c r="T468" s="4"/>
      <c r="U468" s="2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20"/>
      <c r="T469" s="4"/>
      <c r="U469" s="2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20"/>
      <c r="T470" s="4"/>
      <c r="U470" s="2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20"/>
      <c r="T471" s="4"/>
      <c r="U471" s="2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20"/>
      <c r="T472" s="4"/>
      <c r="U472" s="2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20"/>
      <c r="T473" s="4"/>
      <c r="U473" s="2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20"/>
      <c r="T474" s="4"/>
      <c r="U474" s="2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20"/>
      <c r="T475" s="4"/>
      <c r="U475" s="2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20"/>
      <c r="T476" s="4"/>
      <c r="U476" s="2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20"/>
      <c r="T477" s="4"/>
      <c r="U477" s="2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20"/>
      <c r="T478" s="4"/>
      <c r="U478" s="2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20"/>
      <c r="T479" s="4"/>
      <c r="U479" s="2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20"/>
      <c r="T480" s="4"/>
      <c r="U480" s="2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20"/>
      <c r="T481" s="4"/>
      <c r="U481" s="2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20"/>
      <c r="T482" s="4"/>
      <c r="U482" s="2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20"/>
      <c r="T483" s="4"/>
      <c r="U483" s="2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20"/>
      <c r="T484" s="4"/>
      <c r="U484" s="2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20"/>
      <c r="T485" s="4"/>
      <c r="U485" s="2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20"/>
      <c r="T486" s="4"/>
      <c r="U486" s="2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20"/>
      <c r="T487" s="4"/>
      <c r="U487" s="2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20"/>
      <c r="T488" s="4"/>
      <c r="U488" s="2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20"/>
      <c r="T489" s="4"/>
      <c r="U489" s="2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20"/>
      <c r="T490" s="4"/>
      <c r="U490" s="2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20"/>
      <c r="T491" s="4"/>
      <c r="U491" s="2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20"/>
      <c r="T492" s="4"/>
      <c r="U492" s="2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20"/>
      <c r="T493" s="4"/>
      <c r="U493" s="2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20"/>
      <c r="T494" s="4"/>
      <c r="U494" s="2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20"/>
      <c r="T495" s="4"/>
      <c r="U495" s="2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20"/>
      <c r="T496" s="4"/>
      <c r="U496" s="2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20"/>
      <c r="T497" s="4"/>
      <c r="U497" s="2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20"/>
      <c r="T498" s="4"/>
      <c r="U498" s="2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20"/>
      <c r="T499" s="4"/>
      <c r="U499" s="2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20"/>
      <c r="T500" s="4"/>
      <c r="U500" s="2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20"/>
      <c r="T501" s="4"/>
      <c r="U501" s="2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20"/>
      <c r="T502" s="4"/>
      <c r="U502" s="2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20"/>
      <c r="T503" s="4"/>
      <c r="U503" s="2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20"/>
      <c r="T504" s="4"/>
      <c r="U504" s="2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20"/>
      <c r="T505" s="4"/>
      <c r="U505" s="2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20"/>
      <c r="T506" s="4"/>
      <c r="U506" s="2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20"/>
      <c r="T507" s="4"/>
      <c r="U507" s="2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20"/>
      <c r="T508" s="4"/>
      <c r="U508" s="2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20"/>
      <c r="T509" s="4"/>
      <c r="U509" s="2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20"/>
      <c r="T510" s="4"/>
      <c r="U510" s="2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20"/>
      <c r="T511" s="4"/>
      <c r="U511" s="2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20"/>
      <c r="T512" s="4"/>
      <c r="U512" s="2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20"/>
      <c r="T513" s="4"/>
      <c r="U513" s="2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20"/>
      <c r="T514" s="4"/>
      <c r="U514" s="2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20"/>
      <c r="T515" s="4"/>
      <c r="U515" s="2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20"/>
      <c r="T516" s="4"/>
      <c r="U516" s="2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20"/>
      <c r="T517" s="4"/>
      <c r="U517" s="2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20"/>
      <c r="T518" s="4"/>
      <c r="U518" s="2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20"/>
      <c r="T519" s="4"/>
      <c r="U519" s="2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20"/>
      <c r="T520" s="4"/>
      <c r="U520" s="2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20"/>
      <c r="T521" s="4"/>
      <c r="U521" s="2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20"/>
      <c r="T522" s="4"/>
      <c r="U522" s="2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20"/>
      <c r="T523" s="4"/>
      <c r="U523" s="2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20"/>
      <c r="T524" s="4"/>
      <c r="U524" s="2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20"/>
      <c r="T525" s="4"/>
      <c r="U525" s="2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20"/>
      <c r="T526" s="4"/>
      <c r="U526" s="2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20"/>
      <c r="T527" s="4"/>
      <c r="U527" s="2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20"/>
      <c r="T528" s="4"/>
      <c r="U528" s="2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20"/>
      <c r="T529" s="4"/>
      <c r="U529" s="2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20"/>
      <c r="T530" s="4"/>
      <c r="U530" s="2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20"/>
      <c r="T531" s="4"/>
      <c r="U531" s="2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20"/>
      <c r="T532" s="4"/>
      <c r="U532" s="2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20"/>
      <c r="T533" s="4"/>
      <c r="U533" s="2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20"/>
      <c r="T534" s="4"/>
      <c r="U534" s="2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20"/>
      <c r="T535" s="4"/>
      <c r="U535" s="2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20"/>
      <c r="T536" s="4"/>
      <c r="U536" s="2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20"/>
      <c r="T537" s="4"/>
      <c r="U537" s="2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20"/>
      <c r="T538" s="4"/>
      <c r="U538" s="2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20"/>
      <c r="T539" s="4"/>
      <c r="U539" s="2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20"/>
      <c r="T540" s="4"/>
      <c r="U540" s="2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20"/>
      <c r="T541" s="4"/>
      <c r="U541" s="2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20"/>
      <c r="T542" s="4"/>
      <c r="U542" s="2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20"/>
      <c r="T543" s="4"/>
      <c r="U543" s="2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20"/>
      <c r="T544" s="4"/>
      <c r="U544" s="2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20"/>
      <c r="T545" s="4"/>
      <c r="U545" s="2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20"/>
      <c r="T546" s="4"/>
      <c r="U546" s="2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20"/>
      <c r="T547" s="4"/>
      <c r="U547" s="2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20"/>
      <c r="T548" s="4"/>
      <c r="U548" s="2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20"/>
      <c r="T549" s="4"/>
      <c r="U549" s="2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20"/>
      <c r="T550" s="4"/>
      <c r="U550" s="2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20"/>
      <c r="T551" s="4"/>
      <c r="U551" s="2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20"/>
      <c r="T552" s="4"/>
      <c r="U552" s="2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20"/>
      <c r="T553" s="4"/>
      <c r="U553" s="2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20"/>
      <c r="T554" s="4"/>
      <c r="U554" s="2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20"/>
      <c r="T555" s="4"/>
      <c r="U555" s="2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20"/>
      <c r="T556" s="4"/>
      <c r="U556" s="2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20"/>
      <c r="T557" s="4"/>
      <c r="U557" s="2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20"/>
      <c r="T558" s="4"/>
      <c r="U558" s="2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20"/>
      <c r="T559" s="4"/>
      <c r="U559" s="2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20"/>
      <c r="T560" s="4"/>
      <c r="U560" s="2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20"/>
      <c r="T561" s="4"/>
      <c r="U561" s="2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20"/>
      <c r="T562" s="4"/>
      <c r="U562" s="2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20"/>
      <c r="T563" s="4"/>
      <c r="U563" s="2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20"/>
      <c r="T564" s="4"/>
      <c r="U564" s="2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20"/>
      <c r="T565" s="4"/>
      <c r="U565" s="2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20"/>
      <c r="T566" s="4"/>
      <c r="U566" s="2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20"/>
      <c r="T567" s="4"/>
      <c r="U567" s="2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20"/>
      <c r="T568" s="4"/>
      <c r="U568" s="2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20"/>
      <c r="T569" s="4"/>
      <c r="U569" s="2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20"/>
      <c r="T570" s="4"/>
      <c r="U570" s="2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20"/>
      <c r="T571" s="4"/>
      <c r="U571" s="2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20"/>
      <c r="T572" s="4"/>
      <c r="U572" s="2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20"/>
      <c r="T573" s="4"/>
      <c r="U573" s="2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20"/>
      <c r="T574" s="4"/>
      <c r="U574" s="2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20"/>
      <c r="T575" s="4"/>
      <c r="U575" s="2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20"/>
      <c r="T576" s="4"/>
      <c r="U576" s="2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20"/>
      <c r="T577" s="4"/>
      <c r="U577" s="2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20"/>
      <c r="T578" s="4"/>
      <c r="U578" s="2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20"/>
      <c r="T579" s="4"/>
      <c r="U579" s="2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20"/>
      <c r="T580" s="4"/>
      <c r="U580" s="2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20"/>
      <c r="T581" s="4"/>
      <c r="U581" s="2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20"/>
      <c r="T582" s="4"/>
      <c r="U582" s="2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20"/>
      <c r="T583" s="4"/>
      <c r="U583" s="2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20"/>
      <c r="T584" s="4"/>
      <c r="U584" s="2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20"/>
      <c r="T585" s="4"/>
      <c r="U585" s="2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20"/>
      <c r="T586" s="4"/>
      <c r="U586" s="2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20"/>
      <c r="T587" s="4"/>
      <c r="U587" s="2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20"/>
      <c r="T588" s="4"/>
      <c r="U588" s="2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20"/>
      <c r="T589" s="4"/>
      <c r="U589" s="2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20"/>
      <c r="T590" s="4"/>
      <c r="U590" s="2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20"/>
      <c r="T591" s="4"/>
      <c r="U591" s="2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20"/>
      <c r="T592" s="4"/>
      <c r="U592" s="2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20"/>
      <c r="T593" s="4"/>
      <c r="U593" s="2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20"/>
      <c r="T594" s="4"/>
      <c r="U594" s="2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20"/>
      <c r="T595" s="4"/>
      <c r="U595" s="2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20"/>
      <c r="T596" s="4"/>
      <c r="U596" s="2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20"/>
      <c r="T597" s="4"/>
      <c r="U597" s="2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20"/>
      <c r="T598" s="4"/>
      <c r="U598" s="2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20"/>
      <c r="T599" s="4"/>
      <c r="U599" s="2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20"/>
      <c r="T600" s="4"/>
      <c r="U600" s="2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20"/>
      <c r="T601" s="4"/>
      <c r="U601" s="2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20"/>
      <c r="T602" s="4"/>
      <c r="U602" s="2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20"/>
      <c r="T603" s="4"/>
      <c r="U603" s="2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20"/>
      <c r="T604" s="4"/>
      <c r="U604" s="2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20"/>
      <c r="T605" s="4"/>
      <c r="U605" s="2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20"/>
      <c r="T606" s="4"/>
      <c r="U606" s="2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20"/>
      <c r="T607" s="4"/>
      <c r="U607" s="2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20"/>
      <c r="T608" s="4"/>
      <c r="U608" s="2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20"/>
      <c r="T609" s="4"/>
      <c r="U609" s="2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20"/>
      <c r="T610" s="4"/>
      <c r="U610" s="2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20"/>
      <c r="T611" s="4"/>
      <c r="U611" s="2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20"/>
      <c r="T612" s="4"/>
      <c r="U612" s="2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20"/>
      <c r="T613" s="4"/>
      <c r="U613" s="2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20"/>
      <c r="T614" s="4"/>
      <c r="U614" s="2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20"/>
      <c r="T615" s="4"/>
      <c r="U615" s="2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20"/>
      <c r="T616" s="4"/>
      <c r="U616" s="2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20"/>
      <c r="T617" s="4"/>
      <c r="U617" s="2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20"/>
      <c r="T618" s="4"/>
      <c r="U618" s="2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20"/>
      <c r="T619" s="4"/>
      <c r="U619" s="2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20"/>
      <c r="T620" s="4"/>
      <c r="U620" s="2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20"/>
      <c r="T621" s="4"/>
      <c r="U621" s="2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20"/>
      <c r="T622" s="4"/>
      <c r="U622" s="2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20"/>
      <c r="T623" s="4"/>
      <c r="U623" s="2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20"/>
      <c r="T624" s="4"/>
      <c r="U624" s="2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20"/>
      <c r="T625" s="4"/>
      <c r="U625" s="2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20"/>
      <c r="T626" s="4"/>
      <c r="U626" s="2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20"/>
      <c r="T627" s="4"/>
      <c r="U627" s="2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20"/>
      <c r="T628" s="4"/>
      <c r="U628" s="2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20"/>
      <c r="T629" s="4"/>
      <c r="U629" s="2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20"/>
      <c r="T630" s="4"/>
      <c r="U630" s="2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20"/>
      <c r="T631" s="4"/>
      <c r="U631" s="2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20"/>
      <c r="T632" s="4"/>
      <c r="U632" s="2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20"/>
      <c r="T633" s="4"/>
      <c r="U633" s="2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20"/>
      <c r="T634" s="4"/>
      <c r="U634" s="2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20"/>
      <c r="T635" s="4"/>
      <c r="U635" s="2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20"/>
      <c r="T636" s="4"/>
      <c r="U636" s="2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20"/>
      <c r="T637" s="4"/>
      <c r="U637" s="2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20"/>
      <c r="T638" s="4"/>
      <c r="U638" s="2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20"/>
      <c r="T639" s="4"/>
      <c r="U639" s="2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20"/>
      <c r="T640" s="4"/>
      <c r="U640" s="2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20"/>
      <c r="T641" s="4"/>
      <c r="U641" s="2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20"/>
      <c r="T642" s="4"/>
      <c r="U642" s="2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20"/>
      <c r="T643" s="4"/>
      <c r="U643" s="2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20"/>
      <c r="T644" s="4"/>
      <c r="U644" s="2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20"/>
      <c r="T645" s="4"/>
      <c r="U645" s="2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20"/>
      <c r="T646" s="4"/>
      <c r="U646" s="2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20"/>
      <c r="T647" s="4"/>
      <c r="U647" s="2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20"/>
      <c r="T648" s="4"/>
      <c r="U648" s="2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20"/>
      <c r="T649" s="4"/>
      <c r="U649" s="2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20"/>
      <c r="T650" s="4"/>
      <c r="U650" s="2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20"/>
      <c r="T651" s="4"/>
      <c r="U651" s="2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20"/>
      <c r="T652" s="4"/>
      <c r="U652" s="2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20"/>
      <c r="T653" s="4"/>
      <c r="U653" s="2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20"/>
      <c r="T654" s="4"/>
      <c r="U654" s="2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20"/>
      <c r="T655" s="4"/>
      <c r="U655" s="2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20"/>
      <c r="T656" s="4"/>
      <c r="U656" s="2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20"/>
      <c r="T657" s="4"/>
      <c r="U657" s="2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20"/>
      <c r="T658" s="4"/>
      <c r="U658" s="2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20"/>
      <c r="T659" s="4"/>
      <c r="U659" s="2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20"/>
      <c r="T660" s="4"/>
      <c r="U660" s="2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20"/>
      <c r="T661" s="4"/>
      <c r="U661" s="2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20"/>
      <c r="T662" s="4"/>
      <c r="U662" s="2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20"/>
      <c r="T663" s="4"/>
      <c r="U663" s="2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20"/>
      <c r="T664" s="4"/>
      <c r="U664" s="2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20"/>
      <c r="T665" s="4"/>
      <c r="U665" s="2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20"/>
      <c r="T666" s="4"/>
      <c r="U666" s="2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20"/>
      <c r="T667" s="4"/>
      <c r="U667" s="2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20"/>
      <c r="T668" s="4"/>
      <c r="U668" s="2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20"/>
      <c r="T669" s="4"/>
      <c r="U669" s="2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20"/>
      <c r="T670" s="4"/>
      <c r="U670" s="2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20"/>
      <c r="T671" s="4"/>
      <c r="U671" s="2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20"/>
      <c r="T672" s="4"/>
      <c r="U672" s="2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20"/>
      <c r="T673" s="4"/>
      <c r="U673" s="2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20"/>
      <c r="T674" s="4"/>
      <c r="U674" s="2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20"/>
      <c r="T675" s="4"/>
      <c r="U675" s="2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20"/>
      <c r="T676" s="4"/>
      <c r="U676" s="2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20"/>
      <c r="T677" s="4"/>
      <c r="U677" s="2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20"/>
      <c r="T678" s="4"/>
      <c r="U678" s="2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20"/>
      <c r="T679" s="4"/>
      <c r="U679" s="2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20"/>
      <c r="T680" s="4"/>
      <c r="U680" s="2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20"/>
      <c r="T681" s="4"/>
      <c r="U681" s="2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20"/>
      <c r="T682" s="4"/>
      <c r="U682" s="2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20"/>
      <c r="T683" s="4"/>
      <c r="U683" s="2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20"/>
      <c r="T684" s="4"/>
      <c r="U684" s="2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20"/>
      <c r="T685" s="4"/>
      <c r="U685" s="2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20"/>
      <c r="T686" s="4"/>
      <c r="U686" s="2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20"/>
      <c r="T687" s="4"/>
      <c r="U687" s="2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20"/>
      <c r="T688" s="4"/>
      <c r="U688" s="2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20"/>
      <c r="T689" s="4"/>
      <c r="U689" s="2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20"/>
      <c r="T690" s="4"/>
      <c r="U690" s="2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20"/>
      <c r="T691" s="4"/>
      <c r="U691" s="2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20"/>
      <c r="T692" s="4"/>
      <c r="U692" s="2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20"/>
      <c r="T693" s="4"/>
      <c r="U693" s="2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20"/>
      <c r="T694" s="4"/>
      <c r="U694" s="2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20"/>
      <c r="T695" s="4"/>
      <c r="U695" s="2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20"/>
      <c r="T696" s="4"/>
      <c r="U696" s="2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20"/>
      <c r="T697" s="4"/>
      <c r="U697" s="2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20"/>
      <c r="T698" s="4"/>
      <c r="U698" s="2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20"/>
      <c r="T699" s="4"/>
      <c r="U699" s="2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20"/>
      <c r="T700" s="4"/>
      <c r="U700" s="2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20"/>
      <c r="T701" s="4"/>
      <c r="U701" s="2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20"/>
      <c r="T702" s="4"/>
      <c r="U702" s="2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20"/>
      <c r="T703" s="4"/>
      <c r="U703" s="2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20"/>
      <c r="T704" s="4"/>
      <c r="U704" s="2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20"/>
      <c r="T705" s="4"/>
      <c r="U705" s="2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20"/>
      <c r="T706" s="4"/>
      <c r="U706" s="2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20"/>
      <c r="T707" s="4"/>
      <c r="U707" s="2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20"/>
      <c r="T708" s="4"/>
      <c r="U708" s="2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20"/>
      <c r="T709" s="4"/>
      <c r="U709" s="2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20"/>
      <c r="T710" s="4"/>
      <c r="U710" s="2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20"/>
      <c r="T711" s="4"/>
      <c r="U711" s="2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20"/>
      <c r="T712" s="4"/>
      <c r="U712" s="2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20"/>
      <c r="T713" s="4"/>
      <c r="U713" s="2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20"/>
      <c r="T714" s="4"/>
      <c r="U714" s="2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20"/>
      <c r="T715" s="4"/>
      <c r="U715" s="2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20"/>
      <c r="T716" s="4"/>
      <c r="U716" s="2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20"/>
      <c r="T717" s="4"/>
      <c r="U717" s="2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20"/>
      <c r="T718" s="4"/>
      <c r="U718" s="2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20"/>
      <c r="T719" s="4"/>
      <c r="U719" s="2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20"/>
      <c r="T720" s="4"/>
      <c r="U720" s="2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20"/>
      <c r="T721" s="4"/>
      <c r="U721" s="2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20"/>
      <c r="T722" s="4"/>
      <c r="U722" s="2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20"/>
      <c r="T723" s="4"/>
      <c r="U723" s="2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20"/>
      <c r="T724" s="4"/>
      <c r="U724" s="2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20"/>
      <c r="T725" s="4"/>
      <c r="U725" s="2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20"/>
      <c r="T726" s="4"/>
      <c r="U726" s="2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20"/>
      <c r="T727" s="4"/>
      <c r="U727" s="2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20"/>
      <c r="T728" s="4"/>
      <c r="U728" s="2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20"/>
      <c r="T729" s="4"/>
      <c r="U729" s="2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20"/>
      <c r="T730" s="4"/>
      <c r="U730" s="2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20"/>
      <c r="T731" s="4"/>
      <c r="U731" s="2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20"/>
      <c r="T732" s="4"/>
      <c r="U732" s="2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20"/>
      <c r="T733" s="4"/>
      <c r="U733" s="2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20"/>
      <c r="T734" s="4"/>
      <c r="U734" s="2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20"/>
      <c r="T735" s="4"/>
      <c r="U735" s="2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20"/>
      <c r="T736" s="4"/>
      <c r="U736" s="2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20"/>
      <c r="T737" s="4"/>
      <c r="U737" s="2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20"/>
      <c r="T738" s="4"/>
      <c r="U738" s="2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20"/>
      <c r="T739" s="4"/>
      <c r="U739" s="2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20"/>
      <c r="T740" s="4"/>
      <c r="U740" s="2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20"/>
      <c r="T741" s="4"/>
      <c r="U741" s="2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20"/>
      <c r="T742" s="4"/>
      <c r="U742" s="2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20"/>
      <c r="T743" s="4"/>
      <c r="U743" s="2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20"/>
      <c r="T744" s="4"/>
      <c r="U744" s="2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20"/>
      <c r="T745" s="4"/>
      <c r="U745" s="2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20"/>
      <c r="T746" s="4"/>
      <c r="U746" s="2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20"/>
      <c r="T747" s="4"/>
      <c r="U747" s="2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20"/>
      <c r="T748" s="4"/>
      <c r="U748" s="2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20"/>
      <c r="T749" s="4"/>
      <c r="U749" s="2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20"/>
      <c r="T750" s="4"/>
      <c r="U750" s="2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20"/>
      <c r="T751" s="4"/>
      <c r="U751" s="2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20"/>
      <c r="T752" s="4"/>
      <c r="U752" s="2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20"/>
      <c r="T753" s="4"/>
      <c r="U753" s="2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20"/>
      <c r="T754" s="4"/>
      <c r="U754" s="2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20"/>
      <c r="T755" s="4"/>
      <c r="U755" s="2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20"/>
      <c r="T756" s="4"/>
      <c r="U756" s="2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20"/>
      <c r="T757" s="4"/>
      <c r="U757" s="2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20"/>
      <c r="T758" s="4"/>
      <c r="U758" s="2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20"/>
      <c r="T759" s="4"/>
      <c r="U759" s="2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20"/>
      <c r="T760" s="4"/>
      <c r="U760" s="2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20"/>
      <c r="T761" s="4"/>
      <c r="U761" s="2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20"/>
      <c r="T762" s="4"/>
      <c r="U762" s="2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20"/>
      <c r="T763" s="4"/>
      <c r="U763" s="2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20"/>
      <c r="T764" s="4"/>
      <c r="U764" s="2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20"/>
      <c r="T765" s="4"/>
      <c r="U765" s="2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20"/>
      <c r="T766" s="4"/>
      <c r="U766" s="2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20"/>
      <c r="T767" s="4"/>
      <c r="U767" s="2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20"/>
      <c r="T768" s="4"/>
      <c r="U768" s="2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20"/>
      <c r="T769" s="4"/>
      <c r="U769" s="2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20"/>
      <c r="T770" s="4"/>
      <c r="U770" s="2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20"/>
      <c r="T771" s="4"/>
      <c r="U771" s="2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20"/>
      <c r="T772" s="4"/>
      <c r="U772" s="2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20"/>
      <c r="T773" s="4"/>
      <c r="U773" s="2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20"/>
      <c r="T774" s="4"/>
      <c r="U774" s="2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20"/>
      <c r="T775" s="4"/>
      <c r="U775" s="2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20"/>
      <c r="T776" s="4"/>
      <c r="U776" s="2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20"/>
      <c r="T777" s="4"/>
      <c r="U777" s="2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20"/>
      <c r="T778" s="4"/>
      <c r="U778" s="2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20"/>
      <c r="T779" s="4"/>
      <c r="U779" s="2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20"/>
      <c r="T780" s="4"/>
      <c r="U780" s="2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20"/>
      <c r="T781" s="4"/>
      <c r="U781" s="2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20"/>
      <c r="T782" s="4"/>
      <c r="U782" s="2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20"/>
      <c r="T783" s="4"/>
      <c r="U783" s="2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20"/>
      <c r="T784" s="4"/>
      <c r="U784" s="2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20"/>
      <c r="T785" s="4"/>
      <c r="U785" s="2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20"/>
      <c r="T786" s="4"/>
      <c r="U786" s="2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20"/>
      <c r="T787" s="4"/>
      <c r="U787" s="2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20"/>
      <c r="T788" s="4"/>
      <c r="U788" s="2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20"/>
      <c r="T789" s="4"/>
      <c r="U789" s="2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20"/>
      <c r="T790" s="4"/>
      <c r="U790" s="2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20"/>
      <c r="T791" s="4"/>
      <c r="U791" s="2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20"/>
      <c r="T792" s="4"/>
      <c r="U792" s="2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20"/>
      <c r="T793" s="4"/>
      <c r="U793" s="2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20"/>
      <c r="T794" s="4"/>
      <c r="U794" s="2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20"/>
      <c r="T795" s="4"/>
      <c r="U795" s="2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20"/>
      <c r="T796" s="4"/>
      <c r="U796" s="2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20"/>
      <c r="T797" s="4"/>
      <c r="U797" s="2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20"/>
      <c r="T798" s="4"/>
      <c r="U798" s="2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20"/>
      <c r="T799" s="4"/>
      <c r="U799" s="2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20"/>
      <c r="T800" s="4"/>
      <c r="U800" s="2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20"/>
      <c r="T801" s="4"/>
      <c r="U801" s="2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20"/>
      <c r="T802" s="4"/>
      <c r="U802" s="2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20"/>
      <c r="T803" s="4"/>
      <c r="U803" s="2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20"/>
      <c r="T804" s="4"/>
      <c r="U804" s="2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20"/>
      <c r="T805" s="4"/>
      <c r="U805" s="2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20"/>
      <c r="T806" s="4"/>
      <c r="U806" s="2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20"/>
      <c r="T807" s="4"/>
      <c r="U807" s="2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20"/>
      <c r="T808" s="4"/>
      <c r="U808" s="2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20"/>
      <c r="T809" s="4"/>
      <c r="U809" s="2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20"/>
      <c r="T810" s="4"/>
      <c r="U810" s="2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20"/>
      <c r="T811" s="4"/>
      <c r="U811" s="2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20"/>
      <c r="T812" s="4"/>
      <c r="U812" s="2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20"/>
      <c r="T813" s="4"/>
      <c r="U813" s="2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20"/>
      <c r="T814" s="4"/>
      <c r="U814" s="2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20"/>
      <c r="T815" s="4"/>
      <c r="U815" s="2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20"/>
      <c r="T816" s="4"/>
      <c r="U816" s="2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20"/>
      <c r="T817" s="4"/>
      <c r="U817" s="2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20"/>
      <c r="T818" s="4"/>
      <c r="U818" s="2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20"/>
      <c r="T819" s="4"/>
      <c r="U819" s="2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20"/>
      <c r="T820" s="4"/>
      <c r="U820" s="2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20"/>
      <c r="T821" s="4"/>
      <c r="U821" s="2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20"/>
      <c r="T822" s="4"/>
      <c r="U822" s="2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20"/>
      <c r="T823" s="4"/>
      <c r="U823" s="2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20"/>
      <c r="T824" s="4"/>
      <c r="U824" s="2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20"/>
      <c r="T825" s="4"/>
      <c r="U825" s="2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20"/>
      <c r="T826" s="4"/>
      <c r="U826" s="2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20"/>
      <c r="T827" s="4"/>
      <c r="U827" s="2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20"/>
      <c r="T828" s="4"/>
      <c r="U828" s="2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20"/>
      <c r="T829" s="4"/>
      <c r="U829" s="2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20"/>
      <c r="T830" s="4"/>
      <c r="U830" s="2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20"/>
      <c r="T831" s="4"/>
      <c r="U831" s="2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20"/>
      <c r="T832" s="4"/>
      <c r="U832" s="2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20"/>
      <c r="T833" s="4"/>
      <c r="U833" s="2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20"/>
      <c r="T834" s="4"/>
      <c r="U834" s="2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20"/>
      <c r="T835" s="4"/>
      <c r="U835" s="2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20"/>
      <c r="T836" s="4"/>
      <c r="U836" s="2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20"/>
      <c r="T837" s="4"/>
      <c r="U837" s="2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20"/>
      <c r="T838" s="4"/>
      <c r="U838" s="2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20"/>
      <c r="T839" s="4"/>
      <c r="U839" s="2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20"/>
      <c r="T840" s="4"/>
      <c r="U840" s="2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20"/>
      <c r="T841" s="4"/>
      <c r="U841" s="2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20"/>
      <c r="T842" s="4"/>
      <c r="U842" s="2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20"/>
      <c r="T843" s="4"/>
      <c r="U843" s="2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20"/>
      <c r="T844" s="4"/>
      <c r="U844" s="2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20"/>
      <c r="T845" s="4"/>
      <c r="U845" s="2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20"/>
      <c r="T846" s="4"/>
      <c r="U846" s="2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20"/>
      <c r="T847" s="4"/>
      <c r="U847" s="2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20"/>
      <c r="T848" s="4"/>
      <c r="U848" s="2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20"/>
      <c r="T849" s="4"/>
      <c r="U849" s="2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20"/>
      <c r="T850" s="4"/>
      <c r="U850" s="2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20"/>
      <c r="T851" s="4"/>
      <c r="U851" s="2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20"/>
      <c r="T852" s="4"/>
      <c r="U852" s="2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20"/>
      <c r="T853" s="4"/>
      <c r="U853" s="2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20"/>
      <c r="T854" s="4"/>
      <c r="U854" s="2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20"/>
      <c r="T855" s="4"/>
      <c r="U855" s="2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20"/>
      <c r="T856" s="4"/>
      <c r="U856" s="2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20"/>
      <c r="T857" s="4"/>
      <c r="U857" s="2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20"/>
      <c r="T858" s="4"/>
      <c r="U858" s="2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20"/>
      <c r="T859" s="4"/>
      <c r="U859" s="2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20"/>
      <c r="T860" s="4"/>
      <c r="U860" s="2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20"/>
      <c r="T861" s="4"/>
      <c r="U861" s="2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20"/>
      <c r="T862" s="4"/>
      <c r="U862" s="2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20"/>
      <c r="T863" s="4"/>
      <c r="U863" s="2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20"/>
      <c r="T864" s="4"/>
      <c r="U864" s="2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20"/>
      <c r="T865" s="4"/>
      <c r="U865" s="2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20"/>
      <c r="T866" s="4"/>
      <c r="U866" s="2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20"/>
      <c r="T867" s="4"/>
      <c r="U867" s="2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20"/>
      <c r="T868" s="4"/>
      <c r="U868" s="2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20"/>
      <c r="T869" s="4"/>
      <c r="U869" s="2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20"/>
      <c r="T870" s="4"/>
      <c r="U870" s="2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20"/>
      <c r="T871" s="4"/>
      <c r="U871" s="2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20"/>
      <c r="T872" s="4"/>
      <c r="U872" s="2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20"/>
      <c r="T873" s="4"/>
      <c r="U873" s="2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20"/>
      <c r="T874" s="4"/>
      <c r="U874" s="2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20"/>
      <c r="T875" s="4"/>
      <c r="U875" s="2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20"/>
      <c r="T876" s="4"/>
      <c r="U876" s="2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20"/>
      <c r="T877" s="4"/>
      <c r="U877" s="2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20"/>
      <c r="T878" s="4"/>
      <c r="U878" s="2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20"/>
      <c r="T879" s="4"/>
      <c r="U879" s="2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20"/>
      <c r="T880" s="4"/>
      <c r="U880" s="2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20"/>
      <c r="T881" s="4"/>
      <c r="U881" s="2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20"/>
      <c r="T882" s="4"/>
      <c r="U882" s="2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20"/>
      <c r="T883" s="4"/>
      <c r="U883" s="2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20"/>
      <c r="T884" s="4"/>
      <c r="U884" s="2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20"/>
      <c r="T885" s="4"/>
      <c r="U885" s="2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20"/>
      <c r="T886" s="4"/>
      <c r="U886" s="2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20"/>
      <c r="T887" s="4"/>
      <c r="U887" s="2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20"/>
      <c r="T888" s="4"/>
      <c r="U888" s="2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20"/>
      <c r="T889" s="4"/>
      <c r="U889" s="2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20"/>
      <c r="T890" s="4"/>
      <c r="U890" s="2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20"/>
      <c r="T891" s="4"/>
      <c r="U891" s="2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20"/>
      <c r="T892" s="4"/>
      <c r="U892" s="2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20"/>
      <c r="T893" s="4"/>
      <c r="U893" s="2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20"/>
      <c r="T894" s="4"/>
      <c r="U894" s="2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20"/>
      <c r="T895" s="4"/>
      <c r="U895" s="2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20"/>
      <c r="T896" s="4"/>
      <c r="U896" s="2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20"/>
      <c r="T897" s="4"/>
      <c r="U897" s="2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20"/>
      <c r="T898" s="4"/>
      <c r="U898" s="2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20"/>
      <c r="T899" s="4"/>
      <c r="U899" s="2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20"/>
      <c r="T900" s="4"/>
      <c r="U900" s="2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20"/>
      <c r="T901" s="4"/>
      <c r="U901" s="2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20"/>
      <c r="T902" s="4"/>
      <c r="U902" s="2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20"/>
      <c r="T903" s="4"/>
      <c r="U903" s="2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20"/>
      <c r="T904" s="4"/>
      <c r="U904" s="2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20"/>
      <c r="T905" s="4"/>
      <c r="U905" s="2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20"/>
      <c r="T906" s="4"/>
      <c r="U906" s="2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20"/>
      <c r="T907" s="4"/>
      <c r="U907" s="2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20"/>
      <c r="T908" s="4"/>
      <c r="U908" s="2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20"/>
      <c r="T909" s="4"/>
      <c r="U909" s="2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20"/>
      <c r="T910" s="4"/>
      <c r="U910" s="2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20"/>
      <c r="T911" s="4"/>
      <c r="U911" s="2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20"/>
      <c r="T912" s="4"/>
      <c r="U912" s="2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20"/>
      <c r="T913" s="4"/>
      <c r="U913" s="2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20"/>
      <c r="T914" s="4"/>
      <c r="U914" s="2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20"/>
      <c r="T915" s="4"/>
      <c r="U915" s="2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20"/>
      <c r="T916" s="4"/>
      <c r="U916" s="2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20"/>
      <c r="T917" s="4"/>
      <c r="U917" s="2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20"/>
      <c r="T918" s="4"/>
      <c r="U918" s="2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20"/>
      <c r="T919" s="4"/>
      <c r="U919" s="2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20"/>
      <c r="T920" s="4"/>
      <c r="U920" s="2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20"/>
      <c r="T921" s="4"/>
      <c r="U921" s="2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20"/>
      <c r="T922" s="4"/>
      <c r="U922" s="2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20"/>
      <c r="T923" s="4"/>
      <c r="U923" s="2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20"/>
      <c r="T924" s="4"/>
      <c r="U924" s="2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</sheetData>
  <mergeCells count="421">
    <mergeCell ref="D147:D150"/>
    <mergeCell ref="E147:E150"/>
    <mergeCell ref="A139:A142"/>
    <mergeCell ref="A143:A146"/>
    <mergeCell ref="B143:B146"/>
    <mergeCell ref="C143:C146"/>
    <mergeCell ref="D143:D146"/>
    <mergeCell ref="E143:E146"/>
    <mergeCell ref="A147:A150"/>
    <mergeCell ref="C107:C110"/>
    <mergeCell ref="D107:D110"/>
    <mergeCell ref="A103:A106"/>
    <mergeCell ref="B103:B106"/>
    <mergeCell ref="C103:C106"/>
    <mergeCell ref="D103:D106"/>
    <mergeCell ref="E103:E106"/>
    <mergeCell ref="B107:B110"/>
    <mergeCell ref="E107:E110"/>
    <mergeCell ref="D115:D118"/>
    <mergeCell ref="E115:E118"/>
    <mergeCell ref="D119:D122"/>
    <mergeCell ref="E119:E122"/>
    <mergeCell ref="D123:D126"/>
    <mergeCell ref="E123:E126"/>
    <mergeCell ref="A107:A110"/>
    <mergeCell ref="A111:A114"/>
    <mergeCell ref="B111:B114"/>
    <mergeCell ref="C111:C114"/>
    <mergeCell ref="D111:D114"/>
    <mergeCell ref="E111:E114"/>
    <mergeCell ref="A115:A118"/>
    <mergeCell ref="B115:B118"/>
    <mergeCell ref="C115:C118"/>
    <mergeCell ref="A119:A122"/>
    <mergeCell ref="B119:B122"/>
    <mergeCell ref="C119:C122"/>
    <mergeCell ref="B123:B126"/>
    <mergeCell ref="C123:C126"/>
    <mergeCell ref="A123:A126"/>
    <mergeCell ref="A127:A130"/>
    <mergeCell ref="B127:B130"/>
    <mergeCell ref="C127:C130"/>
    <mergeCell ref="D127:D130"/>
    <mergeCell ref="E127:E130"/>
    <mergeCell ref="A131:A134"/>
    <mergeCell ref="B147:B150"/>
    <mergeCell ref="C147:C150"/>
    <mergeCell ref="A151:A154"/>
    <mergeCell ref="B151:B154"/>
    <mergeCell ref="C151:C154"/>
    <mergeCell ref="D151:D154"/>
    <mergeCell ref="E151:E154"/>
    <mergeCell ref="D41:D44"/>
    <mergeCell ref="E41:E44"/>
    <mergeCell ref="A33:A36"/>
    <mergeCell ref="A37:A40"/>
    <mergeCell ref="B37:B40"/>
    <mergeCell ref="C37:C40"/>
    <mergeCell ref="D37:D40"/>
    <mergeCell ref="E37:E40"/>
    <mergeCell ref="A41:A44"/>
    <mergeCell ref="D9:D12"/>
    <mergeCell ref="E9:E12"/>
    <mergeCell ref="D13:D16"/>
    <mergeCell ref="E13:E16"/>
    <mergeCell ref="D17:D20"/>
    <mergeCell ref="E17:E20"/>
    <mergeCell ref="A1:D1"/>
    <mergeCell ref="A3:A6"/>
    <mergeCell ref="B3:B6"/>
    <mergeCell ref="C3:C6"/>
    <mergeCell ref="D3:D6"/>
    <mergeCell ref="E3:E6"/>
    <mergeCell ref="A9:A12"/>
    <mergeCell ref="B9:B12"/>
    <mergeCell ref="C9:C12"/>
    <mergeCell ref="A13:A16"/>
    <mergeCell ref="B13:B16"/>
    <mergeCell ref="C13:C16"/>
    <mergeCell ref="B17:B20"/>
    <mergeCell ref="C17:C20"/>
    <mergeCell ref="D25:D28"/>
    <mergeCell ref="E25:E28"/>
    <mergeCell ref="D29:D32"/>
    <mergeCell ref="E29:E32"/>
    <mergeCell ref="D33:D36"/>
    <mergeCell ref="E33:E36"/>
    <mergeCell ref="A17:A20"/>
    <mergeCell ref="A21:A24"/>
    <mergeCell ref="B21:B24"/>
    <mergeCell ref="C21:C24"/>
    <mergeCell ref="D21:D24"/>
    <mergeCell ref="E21:E24"/>
    <mergeCell ref="A25:A28"/>
    <mergeCell ref="B25:B28"/>
    <mergeCell ref="C25:C28"/>
    <mergeCell ref="A29:A32"/>
    <mergeCell ref="B29:B32"/>
    <mergeCell ref="C29:C32"/>
    <mergeCell ref="B33:B36"/>
    <mergeCell ref="C33:C36"/>
    <mergeCell ref="B41:B44"/>
    <mergeCell ref="C41:C44"/>
    <mergeCell ref="A45:A48"/>
    <mergeCell ref="B45:B48"/>
    <mergeCell ref="C45:C48"/>
    <mergeCell ref="D45:D48"/>
    <mergeCell ref="E45:E48"/>
    <mergeCell ref="D79:D82"/>
    <mergeCell ref="E79:E82"/>
    <mergeCell ref="D83:D86"/>
    <mergeCell ref="E83:E86"/>
    <mergeCell ref="D87:D90"/>
    <mergeCell ref="E87:E90"/>
    <mergeCell ref="B79:B82"/>
    <mergeCell ref="C79:C82"/>
    <mergeCell ref="A83:A86"/>
    <mergeCell ref="B83:B86"/>
    <mergeCell ref="C83:C86"/>
    <mergeCell ref="B87:B90"/>
    <mergeCell ref="C87:C90"/>
    <mergeCell ref="D95:D98"/>
    <mergeCell ref="E95:E98"/>
    <mergeCell ref="A87:A90"/>
    <mergeCell ref="A91:A94"/>
    <mergeCell ref="B91:B94"/>
    <mergeCell ref="C91:C94"/>
    <mergeCell ref="D91:D94"/>
    <mergeCell ref="E91:E94"/>
    <mergeCell ref="A95:A98"/>
    <mergeCell ref="C55:C58"/>
    <mergeCell ref="D55:D58"/>
    <mergeCell ref="A49:A52"/>
    <mergeCell ref="B49:B52"/>
    <mergeCell ref="C49:C52"/>
    <mergeCell ref="D49:D52"/>
    <mergeCell ref="E49:E52"/>
    <mergeCell ref="B55:B58"/>
    <mergeCell ref="E55:E58"/>
    <mergeCell ref="D63:D66"/>
    <mergeCell ref="E63:E66"/>
    <mergeCell ref="D67:D70"/>
    <mergeCell ref="E67:E70"/>
    <mergeCell ref="D71:D74"/>
    <mergeCell ref="E71:E74"/>
    <mergeCell ref="A55:A58"/>
    <mergeCell ref="A59:A62"/>
    <mergeCell ref="B59:B62"/>
    <mergeCell ref="C59:C62"/>
    <mergeCell ref="D59:D62"/>
    <mergeCell ref="E59:E62"/>
    <mergeCell ref="A63:A66"/>
    <mergeCell ref="B63:B66"/>
    <mergeCell ref="C63:C66"/>
    <mergeCell ref="A67:A70"/>
    <mergeCell ref="B67:B70"/>
    <mergeCell ref="C67:C70"/>
    <mergeCell ref="B71:B74"/>
    <mergeCell ref="C71:C74"/>
    <mergeCell ref="A71:A74"/>
    <mergeCell ref="A75:A78"/>
    <mergeCell ref="B75:B78"/>
    <mergeCell ref="C75:C78"/>
    <mergeCell ref="D75:D78"/>
    <mergeCell ref="E75:E78"/>
    <mergeCell ref="A79:A82"/>
    <mergeCell ref="B95:B98"/>
    <mergeCell ref="C95:C98"/>
    <mergeCell ref="A99:A102"/>
    <mergeCell ref="B99:B102"/>
    <mergeCell ref="C99:C102"/>
    <mergeCell ref="D99:D102"/>
    <mergeCell ref="E99:E102"/>
    <mergeCell ref="D131:D134"/>
    <mergeCell ref="E131:E134"/>
    <mergeCell ref="D135:D138"/>
    <mergeCell ref="E135:E138"/>
    <mergeCell ref="D139:D142"/>
    <mergeCell ref="E139:E142"/>
    <mergeCell ref="B131:B134"/>
    <mergeCell ref="C131:C134"/>
    <mergeCell ref="A135:A138"/>
    <mergeCell ref="B135:B138"/>
    <mergeCell ref="C135:C138"/>
    <mergeCell ref="B139:B142"/>
    <mergeCell ref="C139:C142"/>
    <mergeCell ref="D183:D186"/>
    <mergeCell ref="E183:E186"/>
    <mergeCell ref="D187:D190"/>
    <mergeCell ref="E187:E190"/>
    <mergeCell ref="D191:D194"/>
    <mergeCell ref="E191:E194"/>
    <mergeCell ref="B183:B186"/>
    <mergeCell ref="C183:C186"/>
    <mergeCell ref="A187:A190"/>
    <mergeCell ref="B187:B190"/>
    <mergeCell ref="C187:C190"/>
    <mergeCell ref="B191:B194"/>
    <mergeCell ref="C191:C194"/>
    <mergeCell ref="D305:D308"/>
    <mergeCell ref="E305:E308"/>
    <mergeCell ref="A297:A300"/>
    <mergeCell ref="A301:A304"/>
    <mergeCell ref="B301:B304"/>
    <mergeCell ref="C301:C304"/>
    <mergeCell ref="D301:D304"/>
    <mergeCell ref="E301:E304"/>
    <mergeCell ref="A305:A308"/>
    <mergeCell ref="C265:C268"/>
    <mergeCell ref="D265:D268"/>
    <mergeCell ref="A261:A264"/>
    <mergeCell ref="B261:B264"/>
    <mergeCell ref="C261:C264"/>
    <mergeCell ref="D261:D264"/>
    <mergeCell ref="E261:E264"/>
    <mergeCell ref="B265:B268"/>
    <mergeCell ref="E265:E268"/>
    <mergeCell ref="D273:D276"/>
    <mergeCell ref="E273:E276"/>
    <mergeCell ref="D277:D280"/>
    <mergeCell ref="E277:E280"/>
    <mergeCell ref="D281:D284"/>
    <mergeCell ref="E281:E284"/>
    <mergeCell ref="A265:A268"/>
    <mergeCell ref="A269:A272"/>
    <mergeCell ref="B269:B272"/>
    <mergeCell ref="C269:C272"/>
    <mergeCell ref="D269:D272"/>
    <mergeCell ref="E269:E272"/>
    <mergeCell ref="A273:A276"/>
    <mergeCell ref="B273:B276"/>
    <mergeCell ref="C273:C276"/>
    <mergeCell ref="A277:A280"/>
    <mergeCell ref="B277:B280"/>
    <mergeCell ref="C277:C280"/>
    <mergeCell ref="B281:B284"/>
    <mergeCell ref="C281:C284"/>
    <mergeCell ref="A281:A284"/>
    <mergeCell ref="A285:A288"/>
    <mergeCell ref="B285:B288"/>
    <mergeCell ref="C285:C288"/>
    <mergeCell ref="D285:D288"/>
    <mergeCell ref="E285:E288"/>
    <mergeCell ref="A289:A292"/>
    <mergeCell ref="B305:B308"/>
    <mergeCell ref="C305:C308"/>
    <mergeCell ref="A309:A312"/>
    <mergeCell ref="B309:B312"/>
    <mergeCell ref="C309:C312"/>
    <mergeCell ref="D309:D312"/>
    <mergeCell ref="E309:E312"/>
    <mergeCell ref="D201:D204"/>
    <mergeCell ref="E201:E204"/>
    <mergeCell ref="A191:A194"/>
    <mergeCell ref="A195:A198"/>
    <mergeCell ref="B195:B198"/>
    <mergeCell ref="C195:C198"/>
    <mergeCell ref="D195:D198"/>
    <mergeCell ref="E195:E198"/>
    <mergeCell ref="A201:A204"/>
    <mergeCell ref="C159:C162"/>
    <mergeCell ref="D159:D162"/>
    <mergeCell ref="A155:A158"/>
    <mergeCell ref="B155:B158"/>
    <mergeCell ref="C155:C158"/>
    <mergeCell ref="D155:D158"/>
    <mergeCell ref="E155:E158"/>
    <mergeCell ref="B159:B162"/>
    <mergeCell ref="E159:E162"/>
    <mergeCell ref="D167:D170"/>
    <mergeCell ref="E167:E170"/>
    <mergeCell ref="D171:D174"/>
    <mergeCell ref="E171:E174"/>
    <mergeCell ref="D175:D178"/>
    <mergeCell ref="E175:E178"/>
    <mergeCell ref="A159:A162"/>
    <mergeCell ref="A163:A166"/>
    <mergeCell ref="B163:B166"/>
    <mergeCell ref="C163:C166"/>
    <mergeCell ref="D163:D166"/>
    <mergeCell ref="E163:E166"/>
    <mergeCell ref="A167:A170"/>
    <mergeCell ref="B167:B170"/>
    <mergeCell ref="C167:C170"/>
    <mergeCell ref="A171:A174"/>
    <mergeCell ref="B171:B174"/>
    <mergeCell ref="C171:C174"/>
    <mergeCell ref="B175:B178"/>
    <mergeCell ref="C175:C178"/>
    <mergeCell ref="A175:A178"/>
    <mergeCell ref="A179:A182"/>
    <mergeCell ref="B179:B182"/>
    <mergeCell ref="C179:C182"/>
    <mergeCell ref="D179:D182"/>
    <mergeCell ref="E179:E182"/>
    <mergeCell ref="A183:A186"/>
    <mergeCell ref="B201:B204"/>
    <mergeCell ref="C201:C204"/>
    <mergeCell ref="A205:A208"/>
    <mergeCell ref="B205:B208"/>
    <mergeCell ref="C205:C208"/>
    <mergeCell ref="D205:D208"/>
    <mergeCell ref="E205:E208"/>
    <mergeCell ref="D237:D240"/>
    <mergeCell ref="E237:E240"/>
    <mergeCell ref="D241:D244"/>
    <mergeCell ref="E241:E244"/>
    <mergeCell ref="D245:D248"/>
    <mergeCell ref="E245:E248"/>
    <mergeCell ref="B237:B240"/>
    <mergeCell ref="C237:C240"/>
    <mergeCell ref="A241:A244"/>
    <mergeCell ref="B241:B244"/>
    <mergeCell ref="C241:C244"/>
    <mergeCell ref="B245:B248"/>
    <mergeCell ref="C245:C248"/>
    <mergeCell ref="D253:D256"/>
    <mergeCell ref="E253:E256"/>
    <mergeCell ref="A245:A248"/>
    <mergeCell ref="A249:A252"/>
    <mergeCell ref="B249:B252"/>
    <mergeCell ref="C249:C252"/>
    <mergeCell ref="D249:D252"/>
    <mergeCell ref="E249:E252"/>
    <mergeCell ref="A253:A256"/>
    <mergeCell ref="C213:C216"/>
    <mergeCell ref="D213:D216"/>
    <mergeCell ref="A209:A212"/>
    <mergeCell ref="B209:B212"/>
    <mergeCell ref="C209:C212"/>
    <mergeCell ref="D209:D212"/>
    <mergeCell ref="E209:E212"/>
    <mergeCell ref="B213:B216"/>
    <mergeCell ref="E213:E216"/>
    <mergeCell ref="D221:D224"/>
    <mergeCell ref="E221:E224"/>
    <mergeCell ref="D225:D228"/>
    <mergeCell ref="E225:E228"/>
    <mergeCell ref="D229:D232"/>
    <mergeCell ref="E229:E232"/>
    <mergeCell ref="A213:A216"/>
    <mergeCell ref="A217:A220"/>
    <mergeCell ref="B217:B220"/>
    <mergeCell ref="C217:C220"/>
    <mergeCell ref="D217:D220"/>
    <mergeCell ref="E217:E220"/>
    <mergeCell ref="A221:A224"/>
    <mergeCell ref="B221:B224"/>
    <mergeCell ref="C221:C224"/>
    <mergeCell ref="A225:A228"/>
    <mergeCell ref="B225:B228"/>
    <mergeCell ref="C225:C228"/>
    <mergeCell ref="B229:B232"/>
    <mergeCell ref="C229:C232"/>
    <mergeCell ref="A229:A232"/>
    <mergeCell ref="A233:A236"/>
    <mergeCell ref="B233:B236"/>
    <mergeCell ref="C233:C236"/>
    <mergeCell ref="D233:D236"/>
    <mergeCell ref="E233:E236"/>
    <mergeCell ref="A237:A240"/>
    <mergeCell ref="B253:B256"/>
    <mergeCell ref="C253:C256"/>
    <mergeCell ref="A257:A260"/>
    <mergeCell ref="B257:B260"/>
    <mergeCell ref="C257:C260"/>
    <mergeCell ref="D257:D260"/>
    <mergeCell ref="E257:E260"/>
    <mergeCell ref="D289:D292"/>
    <mergeCell ref="E289:E292"/>
    <mergeCell ref="D293:D296"/>
    <mergeCell ref="E293:E296"/>
    <mergeCell ref="D297:D300"/>
    <mergeCell ref="E297:E300"/>
    <mergeCell ref="B289:B292"/>
    <mergeCell ref="C289:C292"/>
    <mergeCell ref="A293:A296"/>
    <mergeCell ref="B293:B296"/>
    <mergeCell ref="C293:C296"/>
    <mergeCell ref="B297:B300"/>
    <mergeCell ref="C297:C300"/>
    <mergeCell ref="C317:C320"/>
    <mergeCell ref="D317:D320"/>
    <mergeCell ref="A313:A316"/>
    <mergeCell ref="B313:B316"/>
    <mergeCell ref="C313:C316"/>
    <mergeCell ref="D313:D316"/>
    <mergeCell ref="E313:E316"/>
    <mergeCell ref="B317:B320"/>
    <mergeCell ref="E317:E320"/>
    <mergeCell ref="D325:D328"/>
    <mergeCell ref="E325:E328"/>
    <mergeCell ref="D329:D332"/>
    <mergeCell ref="E329:E332"/>
    <mergeCell ref="D333:D336"/>
    <mergeCell ref="E333:E336"/>
    <mergeCell ref="A317:A320"/>
    <mergeCell ref="A321:A324"/>
    <mergeCell ref="B321:B324"/>
    <mergeCell ref="C321:C324"/>
    <mergeCell ref="D321:D324"/>
    <mergeCell ref="E321:E324"/>
    <mergeCell ref="A325:A328"/>
    <mergeCell ref="B325:B328"/>
    <mergeCell ref="C325:C328"/>
    <mergeCell ref="A329:A332"/>
    <mergeCell ref="B329:B332"/>
    <mergeCell ref="C329:C332"/>
    <mergeCell ref="B333:B336"/>
    <mergeCell ref="C333:C336"/>
    <mergeCell ref="B341:B344"/>
    <mergeCell ref="C341:C344"/>
    <mergeCell ref="D341:D344"/>
    <mergeCell ref="E341:E344"/>
    <mergeCell ref="A333:A336"/>
    <mergeCell ref="A337:A340"/>
    <mergeCell ref="B337:B340"/>
    <mergeCell ref="C337:C340"/>
    <mergeCell ref="D337:D340"/>
    <mergeCell ref="E337:E340"/>
    <mergeCell ref="A341:A34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23.88"/>
    <col customWidth="1" min="3" max="3" width="30.75"/>
    <col customWidth="1" min="4" max="4" width="24.88"/>
    <col customWidth="1" min="5" max="5" width="26.0"/>
    <col customWidth="1" min="6" max="6" width="23.13"/>
  </cols>
  <sheetData>
    <row r="1">
      <c r="A1" s="25"/>
      <c r="B1" s="25"/>
      <c r="C1" s="26" t="s">
        <v>52</v>
      </c>
      <c r="D1" s="27"/>
      <c r="E1" s="26" t="s">
        <v>53</v>
      </c>
    </row>
    <row r="2">
      <c r="A2" s="28" t="s">
        <v>54</v>
      </c>
      <c r="B2" s="28" t="s">
        <v>55</v>
      </c>
      <c r="C2" s="26" t="s">
        <v>6</v>
      </c>
      <c r="D2" s="27" t="s">
        <v>56</v>
      </c>
      <c r="E2" s="26" t="s">
        <v>57</v>
      </c>
      <c r="F2" s="26" t="s">
        <v>58</v>
      </c>
    </row>
    <row r="3">
      <c r="A3" s="29" t="s">
        <v>59</v>
      </c>
      <c r="B3" s="30">
        <v>310.0</v>
      </c>
      <c r="C3" s="31">
        <v>77.0</v>
      </c>
      <c r="D3" s="32">
        <f t="shared" ref="D3:D86" si="1">B3/C3</f>
        <v>4.025974026</v>
      </c>
      <c r="E3" s="31">
        <v>71.66</v>
      </c>
      <c r="F3" s="26">
        <v>1.0</v>
      </c>
    </row>
    <row r="4">
      <c r="A4" s="29" t="s">
        <v>60</v>
      </c>
      <c r="B4" s="30">
        <v>174.0</v>
      </c>
      <c r="C4" s="31">
        <v>87.0</v>
      </c>
      <c r="D4" s="32">
        <f t="shared" si="1"/>
        <v>2</v>
      </c>
      <c r="E4" s="31">
        <v>32.28</v>
      </c>
      <c r="F4" s="26">
        <v>0.0</v>
      </c>
    </row>
    <row r="5">
      <c r="A5" s="29" t="s">
        <v>61</v>
      </c>
      <c r="B5" s="30">
        <v>163.0</v>
      </c>
      <c r="C5" s="31">
        <v>118.0</v>
      </c>
      <c r="D5" s="32">
        <f t="shared" si="1"/>
        <v>1.381355932</v>
      </c>
      <c r="E5" s="31">
        <v>34.239999999999995</v>
      </c>
      <c r="F5" s="26">
        <v>0.0</v>
      </c>
    </row>
    <row r="6">
      <c r="A6" s="29" t="s">
        <v>62</v>
      </c>
      <c r="B6" s="30">
        <v>310.0</v>
      </c>
      <c r="C6" s="31">
        <v>84.0</v>
      </c>
      <c r="D6" s="32">
        <f t="shared" si="1"/>
        <v>3.69047619</v>
      </c>
      <c r="E6" s="31">
        <v>47.980000000000004</v>
      </c>
      <c r="F6" s="26">
        <v>1.0</v>
      </c>
    </row>
    <row r="7">
      <c r="A7" s="29" t="s">
        <v>63</v>
      </c>
      <c r="B7" s="30">
        <v>445.0</v>
      </c>
      <c r="C7" s="31">
        <v>99.0</v>
      </c>
      <c r="D7" s="32">
        <f t="shared" si="1"/>
        <v>4.494949495</v>
      </c>
      <c r="E7" s="31">
        <v>71.5</v>
      </c>
      <c r="F7" s="26">
        <v>1.0</v>
      </c>
    </row>
    <row r="8">
      <c r="A8" s="29" t="s">
        <v>64</v>
      </c>
      <c r="B8" s="30">
        <v>328.0</v>
      </c>
      <c r="C8" s="31">
        <v>89.0</v>
      </c>
      <c r="D8" s="32">
        <f t="shared" si="1"/>
        <v>3.685393258</v>
      </c>
      <c r="E8" s="31">
        <v>53.339999999999996</v>
      </c>
      <c r="F8" s="26">
        <v>1.0</v>
      </c>
    </row>
    <row r="9">
      <c r="A9" s="29" t="s">
        <v>65</v>
      </c>
      <c r="B9" s="30">
        <v>247.0</v>
      </c>
      <c r="C9" s="31">
        <v>74.0</v>
      </c>
      <c r="D9" s="32">
        <f t="shared" si="1"/>
        <v>3.337837838</v>
      </c>
      <c r="E9" s="31">
        <v>56.84</v>
      </c>
      <c r="F9" s="26">
        <v>0.0</v>
      </c>
    </row>
    <row r="10">
      <c r="A10" s="29" t="s">
        <v>66</v>
      </c>
      <c r="B10" s="30">
        <v>223.0</v>
      </c>
      <c r="C10" s="31">
        <v>111.0</v>
      </c>
      <c r="D10" s="32">
        <f t="shared" si="1"/>
        <v>2.009009009</v>
      </c>
      <c r="E10" s="31">
        <v>35.82</v>
      </c>
      <c r="F10" s="26">
        <v>2.0</v>
      </c>
    </row>
    <row r="11">
      <c r="A11" s="29" t="s">
        <v>67</v>
      </c>
      <c r="B11" s="30">
        <v>283.0</v>
      </c>
      <c r="C11" s="31">
        <v>118.0</v>
      </c>
      <c r="D11" s="32">
        <f t="shared" si="1"/>
        <v>2.398305085</v>
      </c>
      <c r="E11" s="31">
        <v>56.12</v>
      </c>
      <c r="F11" s="26">
        <v>1.0</v>
      </c>
    </row>
    <row r="12">
      <c r="A12" s="29" t="s">
        <v>68</v>
      </c>
      <c r="B12" s="30">
        <v>207.0</v>
      </c>
      <c r="C12" s="31">
        <v>63.0</v>
      </c>
      <c r="D12" s="32">
        <f t="shared" si="1"/>
        <v>3.285714286</v>
      </c>
      <c r="E12" s="31">
        <v>35.89</v>
      </c>
      <c r="F12" s="26">
        <v>1.0</v>
      </c>
    </row>
    <row r="13">
      <c r="A13" s="29" t="s">
        <v>69</v>
      </c>
      <c r="B13" s="30">
        <v>66.0</v>
      </c>
      <c r="C13" s="31">
        <v>18.0</v>
      </c>
      <c r="D13" s="32">
        <f t="shared" si="1"/>
        <v>3.666666667</v>
      </c>
      <c r="E13" s="31">
        <v>9.84</v>
      </c>
      <c r="F13" s="26">
        <v>0.0</v>
      </c>
    </row>
    <row r="14">
      <c r="A14" s="29" t="s">
        <v>70</v>
      </c>
      <c r="B14" s="30">
        <v>342.0</v>
      </c>
      <c r="C14" s="31">
        <v>89.0</v>
      </c>
      <c r="D14" s="32">
        <f t="shared" si="1"/>
        <v>3.842696629</v>
      </c>
      <c r="E14" s="31">
        <v>74.15</v>
      </c>
      <c r="F14" s="26">
        <v>0.0</v>
      </c>
    </row>
    <row r="15">
      <c r="A15" s="29" t="s">
        <v>71</v>
      </c>
      <c r="B15" s="30">
        <v>211.0</v>
      </c>
      <c r="C15" s="31">
        <v>46.0</v>
      </c>
      <c r="D15" s="32">
        <f t="shared" si="1"/>
        <v>4.586956522</v>
      </c>
      <c r="E15" s="31">
        <v>27.709999999999997</v>
      </c>
      <c r="F15" s="26">
        <v>0.0</v>
      </c>
    </row>
    <row r="16">
      <c r="A16" s="29" t="s">
        <v>72</v>
      </c>
      <c r="B16" s="30">
        <v>138.0</v>
      </c>
      <c r="C16" s="31">
        <v>46.0</v>
      </c>
      <c r="D16" s="32">
        <f t="shared" si="1"/>
        <v>3</v>
      </c>
      <c r="E16" s="31">
        <v>27.169999999999998</v>
      </c>
      <c r="F16" s="26">
        <v>0.0</v>
      </c>
    </row>
    <row r="17">
      <c r="A17" s="29" t="s">
        <v>73</v>
      </c>
      <c r="B17" s="30">
        <v>344.0</v>
      </c>
      <c r="C17" s="31">
        <v>83.0</v>
      </c>
      <c r="D17" s="32">
        <f t="shared" si="1"/>
        <v>4.144578313</v>
      </c>
      <c r="E17" s="31">
        <v>47.66</v>
      </c>
      <c r="F17" s="26">
        <v>0.0</v>
      </c>
    </row>
    <row r="18">
      <c r="A18" s="29" t="s">
        <v>74</v>
      </c>
      <c r="B18" s="30">
        <v>155.0</v>
      </c>
      <c r="C18" s="31">
        <v>48.0</v>
      </c>
      <c r="D18" s="32">
        <f t="shared" si="1"/>
        <v>3.229166667</v>
      </c>
      <c r="E18" s="31">
        <v>25.5</v>
      </c>
      <c r="F18" s="26">
        <v>0.0</v>
      </c>
    </row>
    <row r="19">
      <c r="A19" s="29" t="s">
        <v>75</v>
      </c>
      <c r="B19" s="30">
        <v>110.0</v>
      </c>
      <c r="C19" s="31">
        <v>63.0</v>
      </c>
      <c r="D19" s="32">
        <f t="shared" si="1"/>
        <v>1.746031746</v>
      </c>
      <c r="E19" s="31">
        <v>20.1</v>
      </c>
      <c r="F19" s="26">
        <v>0.0</v>
      </c>
    </row>
    <row r="20">
      <c r="A20" s="29" t="s">
        <v>76</v>
      </c>
      <c r="B20" s="30">
        <v>90.0</v>
      </c>
      <c r="C20" s="31">
        <v>42.0</v>
      </c>
      <c r="D20" s="32">
        <f t="shared" si="1"/>
        <v>2.142857143</v>
      </c>
      <c r="E20" s="31">
        <v>28.009999999999998</v>
      </c>
      <c r="F20" s="26">
        <v>0.0</v>
      </c>
    </row>
    <row r="21">
      <c r="A21" s="29" t="s">
        <v>77</v>
      </c>
      <c r="B21" s="30">
        <v>167.0</v>
      </c>
      <c r="C21" s="31">
        <v>66.0</v>
      </c>
      <c r="D21" s="32">
        <f t="shared" si="1"/>
        <v>2.53030303</v>
      </c>
      <c r="E21" s="31">
        <v>32.62</v>
      </c>
      <c r="F21" s="26">
        <v>0.0</v>
      </c>
    </row>
    <row r="22">
      <c r="A22" s="29" t="s">
        <v>78</v>
      </c>
      <c r="B22" s="30">
        <v>237.0</v>
      </c>
      <c r="C22" s="31">
        <v>78.0</v>
      </c>
      <c r="D22" s="32">
        <f t="shared" si="1"/>
        <v>3.038461538</v>
      </c>
      <c r="E22" s="31">
        <v>37.42</v>
      </c>
      <c r="F22" s="26">
        <v>0.0</v>
      </c>
    </row>
    <row r="23">
      <c r="A23" s="29" t="s">
        <v>79</v>
      </c>
      <c r="B23" s="30">
        <v>299.0</v>
      </c>
      <c r="C23" s="31">
        <v>112.0</v>
      </c>
      <c r="D23" s="32">
        <f t="shared" si="1"/>
        <v>2.669642857</v>
      </c>
      <c r="E23" s="31">
        <v>55.71</v>
      </c>
      <c r="F23" s="26">
        <v>0.0</v>
      </c>
    </row>
    <row r="24">
      <c r="A24" s="29" t="s">
        <v>80</v>
      </c>
      <c r="B24" s="30">
        <v>169.0</v>
      </c>
      <c r="C24" s="31">
        <v>117.0</v>
      </c>
      <c r="D24" s="32">
        <f t="shared" si="1"/>
        <v>1.444444444</v>
      </c>
      <c r="E24" s="31">
        <v>34.08</v>
      </c>
      <c r="F24" s="26">
        <v>0.0</v>
      </c>
    </row>
    <row r="25">
      <c r="A25" s="29" t="s">
        <v>81</v>
      </c>
      <c r="B25" s="30">
        <v>79.0</v>
      </c>
      <c r="C25" s="31">
        <v>67.0</v>
      </c>
      <c r="D25" s="32">
        <f t="shared" si="1"/>
        <v>1.179104478</v>
      </c>
      <c r="E25" s="31">
        <v>13.29</v>
      </c>
      <c r="F25" s="26">
        <v>0.0</v>
      </c>
    </row>
    <row r="26">
      <c r="A26" s="29" t="s">
        <v>82</v>
      </c>
      <c r="B26" s="30">
        <v>236.0</v>
      </c>
      <c r="C26" s="31">
        <v>118.0</v>
      </c>
      <c r="D26" s="32">
        <f t="shared" si="1"/>
        <v>2</v>
      </c>
      <c r="E26" s="31">
        <v>37.370000000000005</v>
      </c>
      <c r="F26" s="26">
        <v>0.0</v>
      </c>
    </row>
    <row r="27">
      <c r="A27" s="29" t="s">
        <v>83</v>
      </c>
      <c r="B27" s="30">
        <v>197.0</v>
      </c>
      <c r="C27" s="31">
        <v>60.0</v>
      </c>
      <c r="D27" s="32">
        <f t="shared" si="1"/>
        <v>3.283333333</v>
      </c>
      <c r="E27" s="31">
        <v>52.59</v>
      </c>
      <c r="F27" s="26">
        <v>0.0</v>
      </c>
    </row>
    <row r="28">
      <c r="A28" s="29" t="s">
        <v>84</v>
      </c>
      <c r="B28" s="30">
        <v>179.0</v>
      </c>
      <c r="C28" s="31">
        <v>54.0</v>
      </c>
      <c r="D28" s="32">
        <f t="shared" si="1"/>
        <v>3.314814815</v>
      </c>
      <c r="E28" s="31">
        <v>26.03</v>
      </c>
      <c r="F28" s="26">
        <v>1.0</v>
      </c>
    </row>
    <row r="29">
      <c r="A29" s="29" t="s">
        <v>85</v>
      </c>
      <c r="B29" s="30">
        <v>150.0</v>
      </c>
      <c r="C29" s="31">
        <v>59.0</v>
      </c>
      <c r="D29" s="32">
        <f t="shared" si="1"/>
        <v>2.542372881</v>
      </c>
      <c r="E29" s="31">
        <v>43.879999999999995</v>
      </c>
      <c r="F29" s="26">
        <v>2.0</v>
      </c>
    </row>
    <row r="30">
      <c r="A30" s="29" t="s">
        <v>86</v>
      </c>
      <c r="B30" s="30">
        <v>151.0</v>
      </c>
      <c r="C30" s="31">
        <v>29.0</v>
      </c>
      <c r="D30" s="32">
        <f t="shared" si="1"/>
        <v>5.206896552</v>
      </c>
      <c r="E30" s="31">
        <v>23.58</v>
      </c>
      <c r="F30" s="26">
        <v>1.0</v>
      </c>
    </row>
    <row r="31">
      <c r="A31" s="29" t="s">
        <v>87</v>
      </c>
      <c r="B31" s="30">
        <v>148.0</v>
      </c>
      <c r="C31" s="31">
        <v>48.0</v>
      </c>
      <c r="D31" s="32">
        <f t="shared" si="1"/>
        <v>3.083333333</v>
      </c>
      <c r="E31" s="31">
        <v>27.779999999999998</v>
      </c>
      <c r="F31" s="26">
        <v>0.0</v>
      </c>
    </row>
    <row r="32">
      <c r="A32" s="29" t="s">
        <v>88</v>
      </c>
      <c r="B32" s="30">
        <v>171.0</v>
      </c>
      <c r="C32" s="31">
        <v>52.0</v>
      </c>
      <c r="D32" s="32">
        <f t="shared" si="1"/>
        <v>3.288461538</v>
      </c>
      <c r="E32" s="31">
        <v>31.96</v>
      </c>
      <c r="F32" s="26">
        <v>0.0</v>
      </c>
    </row>
    <row r="33">
      <c r="A33" s="29" t="s">
        <v>89</v>
      </c>
      <c r="B33" s="30">
        <v>189.0</v>
      </c>
      <c r="C33" s="31">
        <v>82.0</v>
      </c>
      <c r="D33" s="32">
        <f t="shared" si="1"/>
        <v>2.304878049</v>
      </c>
      <c r="E33" s="31">
        <v>48.65</v>
      </c>
      <c r="F33" s="26">
        <v>0.0</v>
      </c>
    </row>
    <row r="34">
      <c r="A34" s="29" t="s">
        <v>90</v>
      </c>
      <c r="B34" s="30">
        <v>221.0</v>
      </c>
      <c r="C34" s="31">
        <v>109.0</v>
      </c>
      <c r="D34" s="32">
        <f t="shared" si="1"/>
        <v>2.027522936</v>
      </c>
      <c r="E34" s="31">
        <v>40.69</v>
      </c>
      <c r="F34" s="26">
        <v>1.0</v>
      </c>
    </row>
    <row r="35">
      <c r="A35" s="29" t="s">
        <v>91</v>
      </c>
      <c r="B35" s="30">
        <v>192.0</v>
      </c>
      <c r="C35" s="31">
        <v>120.0</v>
      </c>
      <c r="D35" s="32">
        <f t="shared" si="1"/>
        <v>1.6</v>
      </c>
      <c r="E35" s="31">
        <v>43.769999999999996</v>
      </c>
      <c r="F35" s="26">
        <v>0.0</v>
      </c>
    </row>
    <row r="36">
      <c r="A36" s="29" t="s">
        <v>92</v>
      </c>
      <c r="B36" s="30">
        <v>177.0</v>
      </c>
      <c r="C36" s="31">
        <v>32.0</v>
      </c>
      <c r="D36" s="32">
        <f t="shared" si="1"/>
        <v>5.53125</v>
      </c>
      <c r="E36" s="31">
        <v>31.919999999999998</v>
      </c>
      <c r="F36" s="26">
        <v>1.0</v>
      </c>
    </row>
    <row r="37">
      <c r="A37" s="29" t="s">
        <v>93</v>
      </c>
      <c r="B37" s="30">
        <v>344.0</v>
      </c>
      <c r="C37" s="31">
        <v>47.0</v>
      </c>
      <c r="D37" s="32">
        <f t="shared" si="1"/>
        <v>7.319148936</v>
      </c>
      <c r="E37" s="31">
        <v>71.4</v>
      </c>
      <c r="F37" s="26">
        <v>1.0</v>
      </c>
    </row>
    <row r="38">
      <c r="A38" s="29" t="s">
        <v>94</v>
      </c>
      <c r="B38" s="30">
        <v>195.0</v>
      </c>
      <c r="C38" s="31">
        <v>59.0</v>
      </c>
      <c r="D38" s="32">
        <f t="shared" si="1"/>
        <v>3.305084746</v>
      </c>
      <c r="E38" s="31">
        <v>28.189999999999998</v>
      </c>
      <c r="F38" s="26">
        <v>1.0</v>
      </c>
    </row>
    <row r="39">
      <c r="A39" s="29" t="s">
        <v>95</v>
      </c>
      <c r="B39" s="30">
        <v>1933.0</v>
      </c>
      <c r="C39" s="31">
        <v>433.0</v>
      </c>
      <c r="D39" s="32">
        <f t="shared" si="1"/>
        <v>4.464203233</v>
      </c>
      <c r="E39" s="31">
        <v>279.81</v>
      </c>
      <c r="F39" s="26">
        <v>1.0</v>
      </c>
    </row>
    <row r="40">
      <c r="A40" s="29" t="s">
        <v>96</v>
      </c>
      <c r="B40" s="30">
        <v>1931.0</v>
      </c>
      <c r="C40" s="31">
        <v>528.0</v>
      </c>
      <c r="D40" s="32">
        <f t="shared" si="1"/>
        <v>3.65719697</v>
      </c>
      <c r="E40" s="31">
        <v>302.61</v>
      </c>
      <c r="F40" s="26">
        <v>1.0</v>
      </c>
    </row>
    <row r="41">
      <c r="A41" s="29" t="s">
        <v>97</v>
      </c>
      <c r="B41" s="30">
        <v>755.0</v>
      </c>
      <c r="C41" s="31">
        <v>298.0</v>
      </c>
      <c r="D41" s="32">
        <f t="shared" si="1"/>
        <v>2.533557047</v>
      </c>
      <c r="E41" s="31">
        <v>124.97</v>
      </c>
      <c r="F41" s="26">
        <v>0.0</v>
      </c>
    </row>
    <row r="42">
      <c r="A42" s="29" t="s">
        <v>98</v>
      </c>
      <c r="B42" s="30">
        <v>572.0</v>
      </c>
      <c r="C42" s="31">
        <v>440.0</v>
      </c>
      <c r="D42" s="32">
        <f t="shared" si="1"/>
        <v>1.3</v>
      </c>
      <c r="E42" s="31">
        <v>112.39999999999999</v>
      </c>
      <c r="F42" s="26">
        <v>2.0</v>
      </c>
    </row>
    <row r="43">
      <c r="A43" s="29" t="s">
        <v>99</v>
      </c>
      <c r="B43" s="30">
        <v>900.0</v>
      </c>
      <c r="C43" s="31">
        <v>844.0</v>
      </c>
      <c r="D43" s="32">
        <f t="shared" si="1"/>
        <v>1.066350711</v>
      </c>
      <c r="E43" s="31">
        <v>186.48</v>
      </c>
      <c r="F43" s="26">
        <v>1.0</v>
      </c>
    </row>
    <row r="44">
      <c r="A44" s="29" t="s">
        <v>100</v>
      </c>
      <c r="B44" s="30">
        <v>808.0</v>
      </c>
      <c r="C44" s="31">
        <v>442.0</v>
      </c>
      <c r="D44" s="32">
        <f t="shared" si="1"/>
        <v>1.828054299</v>
      </c>
      <c r="E44" s="31">
        <v>140.62</v>
      </c>
      <c r="F44" s="26">
        <v>1.0</v>
      </c>
    </row>
    <row r="45">
      <c r="A45" s="29" t="s">
        <v>101</v>
      </c>
      <c r="B45" s="30">
        <v>508.0</v>
      </c>
      <c r="C45" s="31">
        <v>539.0</v>
      </c>
      <c r="D45" s="32">
        <f t="shared" si="1"/>
        <v>0.9424860853</v>
      </c>
      <c r="E45" s="31">
        <v>133.88</v>
      </c>
      <c r="F45" s="26">
        <v>1.0</v>
      </c>
    </row>
    <row r="46">
      <c r="A46" s="29" t="s">
        <v>102</v>
      </c>
      <c r="B46" s="30">
        <v>1185.0</v>
      </c>
      <c r="C46" s="31">
        <v>911.0</v>
      </c>
      <c r="D46" s="32">
        <f t="shared" si="1"/>
        <v>1.300768386</v>
      </c>
      <c r="E46" s="31">
        <v>222.67</v>
      </c>
      <c r="F46" s="26">
        <v>0.0</v>
      </c>
    </row>
    <row r="47">
      <c r="A47" s="29" t="s">
        <v>103</v>
      </c>
      <c r="B47" s="30">
        <v>2726.0</v>
      </c>
      <c r="C47" s="31">
        <v>665.0</v>
      </c>
      <c r="D47" s="32">
        <f t="shared" si="1"/>
        <v>4.09924812</v>
      </c>
      <c r="E47" s="31">
        <v>485.32</v>
      </c>
      <c r="F47" s="26">
        <v>0.0</v>
      </c>
    </row>
    <row r="48">
      <c r="A48" s="29" t="s">
        <v>104</v>
      </c>
      <c r="B48" s="30">
        <v>1104.0</v>
      </c>
      <c r="C48" s="31">
        <v>353.0</v>
      </c>
      <c r="D48" s="32">
        <f t="shared" si="1"/>
        <v>3.127478754</v>
      </c>
      <c r="E48" s="31">
        <v>206.23</v>
      </c>
      <c r="F48" s="26">
        <v>1.0</v>
      </c>
    </row>
    <row r="49">
      <c r="A49" s="29" t="s">
        <v>105</v>
      </c>
      <c r="B49" s="30">
        <v>1547.0</v>
      </c>
      <c r="C49" s="31">
        <v>414.0</v>
      </c>
      <c r="D49" s="32">
        <f t="shared" si="1"/>
        <v>3.736714976</v>
      </c>
      <c r="E49" s="31">
        <v>257.97</v>
      </c>
      <c r="F49" s="26">
        <v>0.0</v>
      </c>
    </row>
    <row r="50">
      <c r="A50" s="29" t="s">
        <v>106</v>
      </c>
      <c r="B50" s="30">
        <v>2797.0</v>
      </c>
      <c r="C50" s="31">
        <v>1055.0</v>
      </c>
      <c r="D50" s="32">
        <f t="shared" si="1"/>
        <v>2.651184834</v>
      </c>
      <c r="E50" s="31">
        <v>497.87</v>
      </c>
      <c r="F50" s="26">
        <v>1.0</v>
      </c>
    </row>
    <row r="51">
      <c r="A51" s="29" t="s">
        <v>107</v>
      </c>
      <c r="B51" s="30">
        <v>1247.0</v>
      </c>
      <c r="C51" s="31">
        <v>678.0</v>
      </c>
      <c r="D51" s="32">
        <f t="shared" si="1"/>
        <v>1.839233038</v>
      </c>
      <c r="E51" s="31">
        <v>264.7</v>
      </c>
      <c r="F51" s="26">
        <v>0.0</v>
      </c>
    </row>
    <row r="52">
      <c r="A52" s="29" t="s">
        <v>108</v>
      </c>
      <c r="B52" s="30">
        <v>357.0</v>
      </c>
      <c r="C52" s="31">
        <v>345.0</v>
      </c>
      <c r="D52" s="32">
        <f t="shared" si="1"/>
        <v>1.034782609</v>
      </c>
      <c r="E52" s="31">
        <v>77.89</v>
      </c>
      <c r="F52" s="26">
        <v>0.0</v>
      </c>
    </row>
    <row r="53">
      <c r="A53" s="29" t="s">
        <v>109</v>
      </c>
      <c r="B53" s="30">
        <v>480.0</v>
      </c>
      <c r="C53" s="31">
        <v>429.0</v>
      </c>
      <c r="D53" s="32">
        <f t="shared" si="1"/>
        <v>1.118881119</v>
      </c>
      <c r="E53" s="31">
        <v>126.62</v>
      </c>
      <c r="F53" s="26">
        <v>0.0</v>
      </c>
    </row>
    <row r="54">
      <c r="A54" s="29" t="s">
        <v>110</v>
      </c>
      <c r="B54" s="30">
        <v>789.0</v>
      </c>
      <c r="C54" s="31">
        <v>504.0</v>
      </c>
      <c r="D54" s="32">
        <f t="shared" si="1"/>
        <v>1.56547619</v>
      </c>
      <c r="E54" s="31">
        <v>159.4</v>
      </c>
      <c r="F54" s="26">
        <v>2.0</v>
      </c>
    </row>
    <row r="55">
      <c r="A55" s="29" t="s">
        <v>111</v>
      </c>
      <c r="B55" s="30">
        <v>280.0</v>
      </c>
      <c r="C55" s="31">
        <v>267.0</v>
      </c>
      <c r="D55" s="32">
        <f t="shared" si="1"/>
        <v>1.048689139</v>
      </c>
      <c r="E55" s="31">
        <v>64.37</v>
      </c>
      <c r="F55" s="26">
        <v>1.0</v>
      </c>
    </row>
    <row r="56">
      <c r="A56" s="29" t="s">
        <v>112</v>
      </c>
      <c r="B56" s="30">
        <v>826.0</v>
      </c>
      <c r="C56" s="31">
        <v>326.0</v>
      </c>
      <c r="D56" s="32">
        <f t="shared" si="1"/>
        <v>2.533742331</v>
      </c>
      <c r="E56" s="31">
        <v>161.04</v>
      </c>
      <c r="F56" s="26">
        <v>1.0</v>
      </c>
    </row>
    <row r="57">
      <c r="A57" s="29" t="s">
        <v>113</v>
      </c>
      <c r="B57" s="30">
        <v>2296.0</v>
      </c>
      <c r="C57" s="31">
        <v>746.0</v>
      </c>
      <c r="D57" s="32">
        <f t="shared" si="1"/>
        <v>3.077747989</v>
      </c>
      <c r="E57" s="31">
        <v>429.15000000000003</v>
      </c>
      <c r="F57" s="26">
        <v>1.0</v>
      </c>
    </row>
    <row r="58">
      <c r="A58" s="29" t="s">
        <v>114</v>
      </c>
      <c r="B58" s="30">
        <v>1702.0</v>
      </c>
      <c r="C58" s="31">
        <v>746.0</v>
      </c>
      <c r="D58" s="32">
        <f t="shared" si="1"/>
        <v>2.28150134</v>
      </c>
      <c r="E58" s="31">
        <v>337.58000000000004</v>
      </c>
      <c r="F58" s="26">
        <v>1.0</v>
      </c>
    </row>
    <row r="59">
      <c r="A59" s="29" t="s">
        <v>115</v>
      </c>
      <c r="B59" s="30">
        <v>1534.0</v>
      </c>
      <c r="C59" s="31">
        <v>746.0</v>
      </c>
      <c r="D59" s="32">
        <f t="shared" si="1"/>
        <v>2.056300268</v>
      </c>
      <c r="E59" s="31">
        <v>290.1</v>
      </c>
      <c r="F59" s="26">
        <v>2.0</v>
      </c>
    </row>
    <row r="60">
      <c r="A60" s="29" t="s">
        <v>116</v>
      </c>
      <c r="B60" s="30">
        <v>890.0</v>
      </c>
      <c r="C60" s="31">
        <v>403.0</v>
      </c>
      <c r="D60" s="32">
        <f t="shared" si="1"/>
        <v>2.208436725</v>
      </c>
      <c r="E60" s="31">
        <v>143.29000000000002</v>
      </c>
      <c r="F60" s="26">
        <v>1.0</v>
      </c>
    </row>
    <row r="61">
      <c r="A61" s="29" t="s">
        <v>117</v>
      </c>
      <c r="B61" s="30">
        <v>780.0</v>
      </c>
      <c r="C61" s="31">
        <v>696.0</v>
      </c>
      <c r="D61" s="32">
        <f t="shared" si="1"/>
        <v>1.120689655</v>
      </c>
      <c r="E61" s="31">
        <v>172.91</v>
      </c>
      <c r="F61" s="26">
        <v>0.0</v>
      </c>
    </row>
    <row r="62">
      <c r="A62" s="29" t="s">
        <v>118</v>
      </c>
      <c r="B62" s="30">
        <v>417.0</v>
      </c>
      <c r="C62" s="31">
        <v>303.0</v>
      </c>
      <c r="D62" s="32">
        <f t="shared" si="1"/>
        <v>1.376237624</v>
      </c>
      <c r="E62" s="31">
        <v>91.89</v>
      </c>
      <c r="F62" s="26">
        <v>1.0</v>
      </c>
    </row>
    <row r="63">
      <c r="A63" s="29" t="s">
        <v>119</v>
      </c>
      <c r="B63" s="30">
        <v>1045.0</v>
      </c>
      <c r="C63" s="31">
        <v>714.0</v>
      </c>
      <c r="D63" s="32">
        <f t="shared" si="1"/>
        <v>1.463585434</v>
      </c>
      <c r="E63" s="31">
        <v>330.93</v>
      </c>
      <c r="F63" s="26">
        <v>0.0</v>
      </c>
    </row>
    <row r="64">
      <c r="A64" s="29" t="s">
        <v>120</v>
      </c>
      <c r="B64" s="30">
        <v>105.0</v>
      </c>
      <c r="C64" s="31">
        <v>489.0</v>
      </c>
      <c r="D64" s="32">
        <f t="shared" si="1"/>
        <v>0.2147239264</v>
      </c>
      <c r="E64" s="31">
        <v>37.86</v>
      </c>
      <c r="F64" s="26">
        <v>0.0</v>
      </c>
    </row>
    <row r="65">
      <c r="A65" s="29" t="s">
        <v>121</v>
      </c>
      <c r="B65" s="30">
        <v>428.0</v>
      </c>
      <c r="C65" s="31">
        <v>516.0</v>
      </c>
      <c r="D65" s="32">
        <f t="shared" si="1"/>
        <v>0.8294573643</v>
      </c>
      <c r="E65" s="31">
        <v>114.15</v>
      </c>
      <c r="F65" s="26">
        <v>3.0</v>
      </c>
    </row>
    <row r="66">
      <c r="A66" s="29" t="s">
        <v>122</v>
      </c>
      <c r="B66" s="30">
        <v>686.0</v>
      </c>
      <c r="C66" s="31">
        <v>396.0</v>
      </c>
      <c r="D66" s="32">
        <f t="shared" si="1"/>
        <v>1.732323232</v>
      </c>
      <c r="E66" s="31">
        <v>154.98</v>
      </c>
      <c r="F66" s="26">
        <v>0.0</v>
      </c>
    </row>
    <row r="67">
      <c r="A67" s="29" t="s">
        <v>123</v>
      </c>
      <c r="B67" s="30">
        <v>964.0</v>
      </c>
      <c r="C67" s="31">
        <v>460.0</v>
      </c>
      <c r="D67" s="32">
        <f t="shared" si="1"/>
        <v>2.095652174</v>
      </c>
      <c r="E67" s="31">
        <v>193.54999999999998</v>
      </c>
      <c r="F67" s="26">
        <v>2.0</v>
      </c>
    </row>
    <row r="68">
      <c r="A68" s="29" t="s">
        <v>124</v>
      </c>
      <c r="B68" s="30">
        <v>1951.0</v>
      </c>
      <c r="C68" s="31">
        <v>502.0</v>
      </c>
      <c r="D68" s="32">
        <f t="shared" si="1"/>
        <v>3.886454183</v>
      </c>
      <c r="E68" s="31">
        <v>360.59</v>
      </c>
      <c r="F68" s="26">
        <v>1.0</v>
      </c>
    </row>
    <row r="69">
      <c r="A69" s="29" t="s">
        <v>125</v>
      </c>
      <c r="B69" s="30">
        <v>1421.0</v>
      </c>
      <c r="C69" s="31">
        <v>768.0</v>
      </c>
      <c r="D69" s="32">
        <f t="shared" si="1"/>
        <v>1.850260417</v>
      </c>
      <c r="E69" s="31">
        <v>336.57000000000005</v>
      </c>
      <c r="F69" s="26">
        <v>0.0</v>
      </c>
    </row>
    <row r="70">
      <c r="A70" s="29" t="s">
        <v>126</v>
      </c>
      <c r="B70" s="30">
        <v>1056.0</v>
      </c>
      <c r="C70" s="31">
        <v>636.0</v>
      </c>
      <c r="D70" s="32">
        <f t="shared" si="1"/>
        <v>1.660377358</v>
      </c>
      <c r="E70" s="31">
        <v>263.36</v>
      </c>
      <c r="F70" s="26">
        <v>0.0</v>
      </c>
    </row>
    <row r="71">
      <c r="A71" s="29" t="s">
        <v>127</v>
      </c>
      <c r="B71" s="30">
        <v>955.0</v>
      </c>
      <c r="C71" s="31">
        <v>548.0</v>
      </c>
      <c r="D71" s="32">
        <f t="shared" si="1"/>
        <v>1.74270073</v>
      </c>
      <c r="E71" s="31">
        <v>215.11</v>
      </c>
      <c r="F71" s="26">
        <v>0.0</v>
      </c>
    </row>
    <row r="72">
      <c r="A72" s="29" t="s">
        <v>128</v>
      </c>
      <c r="B72" s="30">
        <v>564.0</v>
      </c>
      <c r="C72" s="31">
        <v>251.0</v>
      </c>
      <c r="D72" s="32">
        <f t="shared" si="1"/>
        <v>2.247011952</v>
      </c>
      <c r="E72" s="31">
        <v>111.21</v>
      </c>
      <c r="F72" s="26">
        <v>1.0</v>
      </c>
    </row>
    <row r="73">
      <c r="A73" s="29" t="s">
        <v>129</v>
      </c>
      <c r="B73" s="30">
        <v>565.0</v>
      </c>
      <c r="C73" s="31">
        <v>296.0</v>
      </c>
      <c r="D73" s="32">
        <f t="shared" si="1"/>
        <v>1.908783784</v>
      </c>
      <c r="E73" s="31">
        <v>122.93</v>
      </c>
      <c r="F73" s="26">
        <v>0.0</v>
      </c>
    </row>
    <row r="74">
      <c r="A74" s="29" t="s">
        <v>130</v>
      </c>
      <c r="B74" s="30">
        <v>1430.0</v>
      </c>
      <c r="C74" s="31">
        <v>479.0</v>
      </c>
      <c r="D74" s="32">
        <f t="shared" si="1"/>
        <v>2.985386221</v>
      </c>
      <c r="E74" s="31">
        <v>284.72</v>
      </c>
      <c r="F74" s="26">
        <v>0.0</v>
      </c>
    </row>
    <row r="75">
      <c r="A75" s="29" t="s">
        <v>131</v>
      </c>
      <c r="B75" s="30">
        <v>8007.0</v>
      </c>
      <c r="C75" s="26">
        <v>3170.0</v>
      </c>
      <c r="D75" s="32">
        <f t="shared" si="1"/>
        <v>2.525867508</v>
      </c>
      <c r="F75" s="26">
        <v>1.0</v>
      </c>
    </row>
    <row r="76">
      <c r="A76" s="29" t="s">
        <v>132</v>
      </c>
      <c r="B76" s="30">
        <v>6752.0</v>
      </c>
      <c r="C76" s="31">
        <v>2605.0</v>
      </c>
      <c r="D76" s="32">
        <f t="shared" si="1"/>
        <v>2.59193858</v>
      </c>
      <c r="E76" s="33">
        <v>1141.1</v>
      </c>
      <c r="F76" s="26">
        <v>3.0</v>
      </c>
    </row>
    <row r="77">
      <c r="A77" s="29" t="s">
        <v>133</v>
      </c>
      <c r="B77" s="30">
        <v>6890.0</v>
      </c>
      <c r="C77" s="31">
        <v>2860.0</v>
      </c>
      <c r="D77" s="32">
        <f t="shared" si="1"/>
        <v>2.409090909</v>
      </c>
      <c r="E77" s="33">
        <v>1218.9</v>
      </c>
      <c r="F77" s="26">
        <v>0.0</v>
      </c>
    </row>
    <row r="78">
      <c r="A78" s="29" t="s">
        <v>134</v>
      </c>
      <c r="B78" s="30">
        <v>5748.0</v>
      </c>
      <c r="C78" s="31">
        <v>2111.0</v>
      </c>
      <c r="D78" s="32">
        <f t="shared" si="1"/>
        <v>2.722880152</v>
      </c>
      <c r="E78" s="33">
        <v>952.04</v>
      </c>
      <c r="F78" s="26">
        <v>0.0</v>
      </c>
    </row>
    <row r="79">
      <c r="A79" s="29" t="s">
        <v>135</v>
      </c>
      <c r="B79" s="30">
        <v>4981.0</v>
      </c>
      <c r="C79" s="31">
        <v>1921.0</v>
      </c>
      <c r="D79" s="32">
        <f t="shared" si="1"/>
        <v>2.592920354</v>
      </c>
      <c r="E79" s="33">
        <v>926.3399999999999</v>
      </c>
      <c r="F79" s="26">
        <v>0.0</v>
      </c>
    </row>
    <row r="80">
      <c r="A80" s="29" t="s">
        <v>136</v>
      </c>
      <c r="B80" s="30">
        <v>2346.0</v>
      </c>
      <c r="C80" s="31">
        <v>2194.0</v>
      </c>
      <c r="D80" s="32">
        <f t="shared" si="1"/>
        <v>1.069279854</v>
      </c>
      <c r="E80" s="33">
        <v>530.86</v>
      </c>
      <c r="F80" s="26">
        <v>0.0</v>
      </c>
    </row>
    <row r="81">
      <c r="A81" s="29" t="s">
        <v>137</v>
      </c>
      <c r="B81" s="30">
        <v>7199.0</v>
      </c>
      <c r="C81" s="31">
        <v>2546.0</v>
      </c>
      <c r="D81" s="32">
        <f t="shared" si="1"/>
        <v>2.827572663</v>
      </c>
      <c r="E81" s="33">
        <v>1205.1599999999999</v>
      </c>
      <c r="F81" s="26">
        <v>0.0</v>
      </c>
    </row>
    <row r="82">
      <c r="A82" s="29" t="s">
        <v>138</v>
      </c>
      <c r="B82" s="30">
        <v>6901.0</v>
      </c>
      <c r="C82" s="31">
        <v>2657.0</v>
      </c>
      <c r="D82" s="32">
        <f t="shared" si="1"/>
        <v>2.597290177</v>
      </c>
      <c r="E82" s="31">
        <v>1240.1799999999998</v>
      </c>
      <c r="F82" s="26">
        <v>2.0</v>
      </c>
    </row>
    <row r="83">
      <c r="A83" s="29" t="s">
        <v>139</v>
      </c>
      <c r="B83" s="30">
        <v>1970.0</v>
      </c>
      <c r="C83" s="31">
        <v>2371.0</v>
      </c>
      <c r="D83" s="32">
        <f t="shared" si="1"/>
        <v>0.8308730493</v>
      </c>
      <c r="E83" s="31">
        <v>490.73</v>
      </c>
      <c r="F83" s="26">
        <v>1.0</v>
      </c>
    </row>
    <row r="84">
      <c r="A84" s="29" t="s">
        <v>140</v>
      </c>
      <c r="B84" s="30">
        <v>3150.0</v>
      </c>
      <c r="C84" s="31">
        <v>1926.0</v>
      </c>
      <c r="D84" s="32">
        <f t="shared" si="1"/>
        <v>1.635514019</v>
      </c>
      <c r="E84" s="31">
        <v>678.47</v>
      </c>
      <c r="F84" s="26">
        <v>0.0</v>
      </c>
    </row>
    <row r="85">
      <c r="A85" s="29" t="s">
        <v>141</v>
      </c>
      <c r="B85" s="30">
        <v>3659.0</v>
      </c>
      <c r="C85" s="31">
        <v>2063.0</v>
      </c>
      <c r="D85" s="32">
        <f t="shared" si="1"/>
        <v>1.773630635</v>
      </c>
      <c r="E85" s="31">
        <v>787.49</v>
      </c>
      <c r="F85" s="26">
        <v>1.0</v>
      </c>
    </row>
    <row r="86">
      <c r="A86" s="29" t="s">
        <v>142</v>
      </c>
      <c r="B86" s="30">
        <v>3741.0</v>
      </c>
      <c r="C86" s="31">
        <v>1924.0</v>
      </c>
      <c r="D86" s="32">
        <f t="shared" si="1"/>
        <v>1.944386694</v>
      </c>
      <c r="E86" s="31">
        <v>740.12</v>
      </c>
      <c r="F86" s="26">
        <v>1.0</v>
      </c>
    </row>
    <row r="87">
      <c r="A87" s="29"/>
      <c r="B87" s="30"/>
      <c r="D87" s="32"/>
    </row>
    <row r="88">
      <c r="A88" s="29" t="s">
        <v>143</v>
      </c>
      <c r="B88" s="30">
        <v>218.0</v>
      </c>
      <c r="C88" s="31">
        <v>77.0</v>
      </c>
      <c r="D88" s="32">
        <f t="shared" ref="D88:D171" si="2">B88/C88</f>
        <v>2.831168831</v>
      </c>
      <c r="E88" s="31">
        <v>50.3</v>
      </c>
      <c r="F88" s="26">
        <v>0.0</v>
      </c>
    </row>
    <row r="89">
      <c r="A89" s="29" t="s">
        <v>144</v>
      </c>
      <c r="B89" s="30">
        <v>174.0</v>
      </c>
      <c r="C89" s="31">
        <v>87.0</v>
      </c>
      <c r="D89" s="32">
        <f t="shared" si="2"/>
        <v>2</v>
      </c>
      <c r="E89" s="31">
        <v>32.33</v>
      </c>
      <c r="F89" s="26">
        <v>0.0</v>
      </c>
    </row>
    <row r="90">
      <c r="A90" s="29" t="s">
        <v>145</v>
      </c>
      <c r="B90" s="30">
        <v>163.0</v>
      </c>
      <c r="C90" s="31">
        <v>118.0</v>
      </c>
      <c r="D90" s="32">
        <f t="shared" si="2"/>
        <v>1.381355932</v>
      </c>
      <c r="E90" s="31">
        <v>34.37</v>
      </c>
      <c r="F90" s="26">
        <v>0.0</v>
      </c>
    </row>
    <row r="91">
      <c r="A91" s="29" t="s">
        <v>146</v>
      </c>
      <c r="B91" s="30">
        <v>252.0</v>
      </c>
      <c r="C91" s="31">
        <v>84.0</v>
      </c>
      <c r="D91" s="32">
        <f t="shared" si="2"/>
        <v>3</v>
      </c>
      <c r="E91" s="31">
        <v>39.25</v>
      </c>
      <c r="F91" s="26">
        <v>1.0</v>
      </c>
    </row>
    <row r="92">
      <c r="A92" s="29" t="s">
        <v>147</v>
      </c>
      <c r="B92" s="30">
        <v>316.0</v>
      </c>
      <c r="C92" s="31">
        <v>99.0</v>
      </c>
      <c r="D92" s="32">
        <f t="shared" si="2"/>
        <v>3.191919192</v>
      </c>
      <c r="E92" s="31">
        <v>54.519999999999996</v>
      </c>
      <c r="F92" s="26">
        <v>1.0</v>
      </c>
    </row>
    <row r="93">
      <c r="A93" s="29" t="s">
        <v>148</v>
      </c>
      <c r="B93" s="30">
        <v>328.0</v>
      </c>
      <c r="C93" s="31">
        <v>89.0</v>
      </c>
      <c r="D93" s="32">
        <f t="shared" si="2"/>
        <v>3.685393258</v>
      </c>
      <c r="E93" s="31">
        <v>52.94</v>
      </c>
      <c r="F93" s="26">
        <v>1.0</v>
      </c>
    </row>
    <row r="94">
      <c r="A94" s="29" t="s">
        <v>149</v>
      </c>
      <c r="B94" s="30">
        <v>247.0</v>
      </c>
      <c r="C94" s="31">
        <v>74.0</v>
      </c>
      <c r="D94" s="32">
        <f t="shared" si="2"/>
        <v>3.337837838</v>
      </c>
      <c r="E94" s="31">
        <v>56.33</v>
      </c>
      <c r="F94" s="26">
        <v>0.0</v>
      </c>
    </row>
    <row r="95">
      <c r="A95" s="29" t="s">
        <v>150</v>
      </c>
      <c r="B95" s="30">
        <v>223.0</v>
      </c>
      <c r="C95" s="31">
        <v>111.0</v>
      </c>
      <c r="D95" s="32">
        <f t="shared" si="2"/>
        <v>2.009009009</v>
      </c>
      <c r="E95" s="31">
        <v>35.71</v>
      </c>
      <c r="F95" s="26">
        <v>2.0</v>
      </c>
    </row>
    <row r="96">
      <c r="A96" s="29" t="s">
        <v>151</v>
      </c>
      <c r="B96" s="30">
        <v>283.0</v>
      </c>
      <c r="C96" s="31">
        <v>118.0</v>
      </c>
      <c r="D96" s="32">
        <f t="shared" si="2"/>
        <v>2.398305085</v>
      </c>
      <c r="E96" s="31">
        <v>56.19</v>
      </c>
      <c r="F96" s="26">
        <v>1.0</v>
      </c>
    </row>
    <row r="97">
      <c r="A97" s="29" t="s">
        <v>152</v>
      </c>
      <c r="B97" s="30">
        <v>207.0</v>
      </c>
      <c r="C97" s="31">
        <v>63.0</v>
      </c>
      <c r="D97" s="32">
        <f t="shared" si="2"/>
        <v>3.285714286</v>
      </c>
      <c r="E97" s="31">
        <v>35.81</v>
      </c>
      <c r="F97" s="26">
        <v>1.0</v>
      </c>
    </row>
    <row r="98">
      <c r="A98" s="29" t="s">
        <v>153</v>
      </c>
      <c r="B98" s="30">
        <v>66.0</v>
      </c>
      <c r="C98" s="31">
        <v>18.0</v>
      </c>
      <c r="D98" s="32">
        <f t="shared" si="2"/>
        <v>3.666666667</v>
      </c>
      <c r="E98" s="31">
        <v>9.84</v>
      </c>
      <c r="F98" s="26">
        <v>0.0</v>
      </c>
    </row>
    <row r="99">
      <c r="A99" s="29" t="s">
        <v>154</v>
      </c>
      <c r="B99" s="30">
        <v>229.0</v>
      </c>
      <c r="C99" s="31">
        <v>89.0</v>
      </c>
      <c r="D99" s="32">
        <f t="shared" si="2"/>
        <v>2.573033708</v>
      </c>
      <c r="E99" s="31">
        <v>57.17</v>
      </c>
      <c r="F99" s="26">
        <v>0.0</v>
      </c>
    </row>
    <row r="100">
      <c r="A100" s="29" t="s">
        <v>155</v>
      </c>
      <c r="B100" s="30">
        <v>211.0</v>
      </c>
      <c r="C100" s="31">
        <v>46.0</v>
      </c>
      <c r="D100" s="32">
        <f t="shared" si="2"/>
        <v>4.586956522</v>
      </c>
      <c r="E100" s="31">
        <v>27.54</v>
      </c>
      <c r="F100" s="26">
        <v>0.0</v>
      </c>
    </row>
    <row r="101">
      <c r="A101" s="29" t="s">
        <v>156</v>
      </c>
      <c r="B101" s="30">
        <v>138.0</v>
      </c>
      <c r="C101" s="31">
        <v>46.0</v>
      </c>
      <c r="D101" s="32">
        <f t="shared" si="2"/>
        <v>3</v>
      </c>
      <c r="E101" s="31">
        <v>27.27</v>
      </c>
      <c r="F101" s="26">
        <v>0.0</v>
      </c>
    </row>
    <row r="102">
      <c r="A102" s="29" t="s">
        <v>157</v>
      </c>
      <c r="B102" s="30">
        <v>304.0</v>
      </c>
      <c r="C102" s="31">
        <v>83.0</v>
      </c>
      <c r="D102" s="32">
        <f t="shared" si="2"/>
        <v>3.662650602</v>
      </c>
      <c r="E102" s="31">
        <v>43.05</v>
      </c>
      <c r="F102" s="26">
        <v>1.0</v>
      </c>
    </row>
    <row r="103">
      <c r="A103" s="29" t="s">
        <v>158</v>
      </c>
      <c r="B103" s="30">
        <v>155.0</v>
      </c>
      <c r="C103" s="31">
        <v>48.0</v>
      </c>
      <c r="D103" s="32">
        <f t="shared" si="2"/>
        <v>3.229166667</v>
      </c>
      <c r="E103" s="31">
        <v>25.57</v>
      </c>
      <c r="F103" s="26">
        <v>0.0</v>
      </c>
    </row>
    <row r="104">
      <c r="A104" s="29" t="s">
        <v>159</v>
      </c>
      <c r="B104" s="30">
        <v>67.0</v>
      </c>
      <c r="C104" s="31">
        <v>63.0</v>
      </c>
      <c r="D104" s="32">
        <f t="shared" si="2"/>
        <v>1.063492063</v>
      </c>
      <c r="E104" s="31">
        <v>11.649999999999999</v>
      </c>
      <c r="F104" s="26">
        <v>0.0</v>
      </c>
    </row>
    <row r="105">
      <c r="A105" s="29" t="s">
        <v>160</v>
      </c>
      <c r="B105" s="30">
        <v>90.0</v>
      </c>
      <c r="C105" s="31">
        <v>42.0</v>
      </c>
      <c r="D105" s="32">
        <f t="shared" si="2"/>
        <v>2.142857143</v>
      </c>
      <c r="E105" s="31">
        <v>27.65</v>
      </c>
      <c r="F105" s="26">
        <v>0.0</v>
      </c>
    </row>
    <row r="106">
      <c r="A106" s="29" t="s">
        <v>161</v>
      </c>
      <c r="B106" s="30">
        <v>167.0</v>
      </c>
      <c r="C106" s="31">
        <v>66.0</v>
      </c>
      <c r="D106" s="32">
        <f t="shared" si="2"/>
        <v>2.53030303</v>
      </c>
      <c r="E106" s="31">
        <v>32.68</v>
      </c>
      <c r="F106" s="26">
        <v>0.0</v>
      </c>
    </row>
    <row r="107">
      <c r="A107" s="29" t="s">
        <v>162</v>
      </c>
      <c r="B107" s="30">
        <v>237.0</v>
      </c>
      <c r="C107" s="31">
        <v>78.0</v>
      </c>
      <c r="D107" s="32">
        <f t="shared" si="2"/>
        <v>3.038461538</v>
      </c>
      <c r="E107" s="31">
        <v>37.65</v>
      </c>
      <c r="F107" s="26">
        <v>0.0</v>
      </c>
    </row>
    <row r="108">
      <c r="A108" s="29" t="s">
        <v>163</v>
      </c>
      <c r="B108" s="30">
        <v>236.0</v>
      </c>
      <c r="C108" s="31">
        <v>112.0</v>
      </c>
      <c r="D108" s="32">
        <f t="shared" si="2"/>
        <v>2.107142857</v>
      </c>
      <c r="E108" s="31">
        <v>39.03</v>
      </c>
      <c r="F108" s="26">
        <v>0.0</v>
      </c>
    </row>
    <row r="109">
      <c r="A109" s="29" t="s">
        <v>164</v>
      </c>
      <c r="B109" s="30">
        <v>169.0</v>
      </c>
      <c r="C109" s="31">
        <v>117.0</v>
      </c>
      <c r="D109" s="32">
        <f t="shared" si="2"/>
        <v>1.444444444</v>
      </c>
      <c r="E109" s="31">
        <v>34.1</v>
      </c>
      <c r="F109" s="26">
        <v>0.0</v>
      </c>
    </row>
    <row r="110">
      <c r="A110" s="29" t="s">
        <v>165</v>
      </c>
      <c r="B110" s="30">
        <v>79.0</v>
      </c>
      <c r="C110" s="31">
        <v>67.0</v>
      </c>
      <c r="D110" s="32">
        <f t="shared" si="2"/>
        <v>1.179104478</v>
      </c>
      <c r="E110" s="31">
        <v>13.37</v>
      </c>
      <c r="F110" s="26">
        <v>0.0</v>
      </c>
    </row>
    <row r="111">
      <c r="A111" s="29" t="s">
        <v>166</v>
      </c>
      <c r="B111" s="30">
        <v>214.0</v>
      </c>
      <c r="C111" s="31">
        <v>118.0</v>
      </c>
      <c r="D111" s="32">
        <f t="shared" si="2"/>
        <v>1.813559322</v>
      </c>
      <c r="E111" s="31">
        <v>33.23</v>
      </c>
      <c r="F111" s="26">
        <v>0.0</v>
      </c>
    </row>
    <row r="112">
      <c r="A112" s="29" t="s">
        <v>167</v>
      </c>
      <c r="B112" s="30">
        <v>197.0</v>
      </c>
      <c r="C112" s="31">
        <v>60.0</v>
      </c>
      <c r="D112" s="32">
        <f t="shared" si="2"/>
        <v>3.283333333</v>
      </c>
      <c r="E112" s="31">
        <v>52.129999999999995</v>
      </c>
      <c r="F112" s="26">
        <v>0.0</v>
      </c>
    </row>
    <row r="113">
      <c r="A113" s="29" t="s">
        <v>168</v>
      </c>
      <c r="B113" s="30">
        <v>115.0</v>
      </c>
      <c r="C113" s="31">
        <v>54.0</v>
      </c>
      <c r="D113" s="32">
        <f t="shared" si="2"/>
        <v>2.12962963</v>
      </c>
      <c r="E113" s="31">
        <v>17.21</v>
      </c>
      <c r="F113" s="26">
        <v>0.0</v>
      </c>
    </row>
    <row r="114">
      <c r="A114" s="29" t="s">
        <v>169</v>
      </c>
      <c r="B114" s="30">
        <v>150.0</v>
      </c>
      <c r="C114" s="31">
        <v>59.0</v>
      </c>
      <c r="D114" s="32">
        <f t="shared" si="2"/>
        <v>2.542372881</v>
      </c>
      <c r="E114" s="31">
        <v>43.82</v>
      </c>
      <c r="F114" s="26">
        <v>2.0</v>
      </c>
    </row>
    <row r="115">
      <c r="A115" s="29" t="s">
        <v>170</v>
      </c>
      <c r="B115" s="30">
        <v>151.0</v>
      </c>
      <c r="C115" s="31">
        <v>29.0</v>
      </c>
      <c r="D115" s="32">
        <f t="shared" si="2"/>
        <v>5.206896552</v>
      </c>
      <c r="E115" s="31">
        <v>23.68</v>
      </c>
      <c r="F115" s="26">
        <v>1.0</v>
      </c>
    </row>
    <row r="116">
      <c r="A116" s="29" t="s">
        <v>171</v>
      </c>
      <c r="B116" s="30">
        <v>148.0</v>
      </c>
      <c r="C116" s="31">
        <v>48.0</v>
      </c>
      <c r="D116" s="32">
        <f t="shared" si="2"/>
        <v>3.083333333</v>
      </c>
      <c r="E116" s="31">
        <v>27.840000000000003</v>
      </c>
      <c r="F116" s="26">
        <v>0.0</v>
      </c>
    </row>
    <row r="117">
      <c r="A117" s="29" t="s">
        <v>172</v>
      </c>
      <c r="B117" s="30">
        <v>128.0</v>
      </c>
      <c r="C117" s="31">
        <v>52.0</v>
      </c>
      <c r="D117" s="32">
        <f t="shared" si="2"/>
        <v>2.461538462</v>
      </c>
      <c r="E117" s="31">
        <v>23.31</v>
      </c>
      <c r="F117" s="26">
        <v>0.0</v>
      </c>
    </row>
    <row r="118">
      <c r="A118" s="29" t="s">
        <v>173</v>
      </c>
      <c r="B118" s="30">
        <v>189.0</v>
      </c>
      <c r="C118" s="31">
        <v>82.0</v>
      </c>
      <c r="D118" s="32">
        <f t="shared" si="2"/>
        <v>2.304878049</v>
      </c>
      <c r="E118" s="31">
        <v>48.099999999999994</v>
      </c>
      <c r="F118" s="26">
        <v>0.0</v>
      </c>
    </row>
    <row r="119">
      <c r="A119" s="29" t="s">
        <v>174</v>
      </c>
      <c r="B119" s="30">
        <v>192.0</v>
      </c>
      <c r="C119" s="31">
        <v>109.0</v>
      </c>
      <c r="D119" s="32">
        <f t="shared" si="2"/>
        <v>1.76146789</v>
      </c>
      <c r="E119" s="31">
        <v>36.65</v>
      </c>
      <c r="F119" s="26">
        <v>1.0</v>
      </c>
    </row>
    <row r="120">
      <c r="A120" s="29" t="s">
        <v>175</v>
      </c>
      <c r="B120" s="30">
        <v>192.0</v>
      </c>
      <c r="C120" s="31">
        <v>120.0</v>
      </c>
      <c r="D120" s="32">
        <f t="shared" si="2"/>
        <v>1.6</v>
      </c>
      <c r="E120" s="31">
        <v>43.72</v>
      </c>
      <c r="F120" s="26">
        <v>0.0</v>
      </c>
    </row>
    <row r="121">
      <c r="A121" s="29" t="s">
        <v>176</v>
      </c>
      <c r="B121" s="30">
        <v>160.0</v>
      </c>
      <c r="C121" s="31">
        <v>32.0</v>
      </c>
      <c r="D121" s="32">
        <f t="shared" si="2"/>
        <v>5</v>
      </c>
      <c r="E121" s="31">
        <v>27.759999999999998</v>
      </c>
      <c r="F121" s="26">
        <v>2.0</v>
      </c>
    </row>
    <row r="122">
      <c r="A122" s="29" t="s">
        <v>177</v>
      </c>
      <c r="B122" s="30">
        <v>195.0</v>
      </c>
      <c r="C122" s="31">
        <v>47.0</v>
      </c>
      <c r="D122" s="32">
        <f t="shared" si="2"/>
        <v>4.14893617</v>
      </c>
      <c r="E122" s="31">
        <v>42.03</v>
      </c>
      <c r="F122" s="26">
        <v>0.0</v>
      </c>
    </row>
    <row r="123">
      <c r="A123" s="29" t="s">
        <v>178</v>
      </c>
      <c r="B123" s="30">
        <v>195.0</v>
      </c>
      <c r="C123" s="31">
        <v>59.0</v>
      </c>
      <c r="D123" s="32">
        <f t="shared" si="2"/>
        <v>3.305084746</v>
      </c>
      <c r="E123" s="31">
        <v>28.27</v>
      </c>
      <c r="F123" s="26">
        <v>1.0</v>
      </c>
    </row>
    <row r="124">
      <c r="A124" s="29" t="s">
        <v>179</v>
      </c>
      <c r="B124" s="30">
        <v>1723.0</v>
      </c>
      <c r="C124" s="31">
        <v>433.0</v>
      </c>
      <c r="D124" s="32">
        <f t="shared" si="2"/>
        <v>3.979214781</v>
      </c>
      <c r="E124" s="31">
        <v>255.09</v>
      </c>
      <c r="F124" s="26">
        <v>1.0</v>
      </c>
    </row>
    <row r="125">
      <c r="A125" s="29" t="s">
        <v>180</v>
      </c>
      <c r="B125" s="30">
        <v>1703.0</v>
      </c>
      <c r="C125" s="31">
        <v>528.0</v>
      </c>
      <c r="D125" s="32">
        <f t="shared" si="2"/>
        <v>3.225378788</v>
      </c>
      <c r="E125" s="31">
        <v>276.97</v>
      </c>
      <c r="F125" s="26">
        <v>1.0</v>
      </c>
    </row>
    <row r="126">
      <c r="A126" s="29" t="s">
        <v>181</v>
      </c>
      <c r="B126" s="30">
        <v>724.0</v>
      </c>
      <c r="C126" s="31">
        <v>298.0</v>
      </c>
      <c r="D126" s="32">
        <f t="shared" si="2"/>
        <v>2.429530201</v>
      </c>
      <c r="E126" s="31">
        <v>121.08999999999999</v>
      </c>
      <c r="F126" s="26">
        <v>0.0</v>
      </c>
    </row>
    <row r="127">
      <c r="A127" s="29" t="s">
        <v>182</v>
      </c>
      <c r="B127" s="30">
        <v>572.0</v>
      </c>
      <c r="C127" s="31">
        <v>440.0</v>
      </c>
      <c r="D127" s="32">
        <f t="shared" si="2"/>
        <v>1.3</v>
      </c>
      <c r="E127" s="31">
        <v>112.99</v>
      </c>
      <c r="F127" s="26">
        <v>2.0</v>
      </c>
    </row>
    <row r="128">
      <c r="A128" s="29" t="s">
        <v>183</v>
      </c>
      <c r="B128" s="30">
        <v>900.0</v>
      </c>
      <c r="C128" s="31">
        <v>844.0</v>
      </c>
      <c r="D128" s="32">
        <f t="shared" si="2"/>
        <v>1.066350711</v>
      </c>
      <c r="E128" s="31">
        <v>186.07</v>
      </c>
      <c r="F128" s="26">
        <v>1.0</v>
      </c>
    </row>
    <row r="129">
      <c r="A129" s="29" t="s">
        <v>184</v>
      </c>
      <c r="B129" s="30">
        <v>808.0</v>
      </c>
      <c r="C129" s="31">
        <v>442.0</v>
      </c>
      <c r="D129" s="32">
        <f t="shared" si="2"/>
        <v>1.828054299</v>
      </c>
      <c r="E129" s="31">
        <v>141.36</v>
      </c>
      <c r="F129" s="26">
        <v>1.0</v>
      </c>
    </row>
    <row r="130">
      <c r="A130" s="29" t="s">
        <v>185</v>
      </c>
      <c r="B130" s="30">
        <v>508.0</v>
      </c>
      <c r="C130" s="31">
        <v>539.0</v>
      </c>
      <c r="D130" s="32">
        <f t="shared" si="2"/>
        <v>0.9424860853</v>
      </c>
      <c r="E130" s="31">
        <v>133.67000000000002</v>
      </c>
      <c r="F130" s="26">
        <v>1.0</v>
      </c>
    </row>
    <row r="131">
      <c r="A131" s="29" t="s">
        <v>186</v>
      </c>
      <c r="B131" s="30">
        <v>1185.0</v>
      </c>
      <c r="C131" s="31">
        <v>911.0</v>
      </c>
      <c r="D131" s="32">
        <f t="shared" si="2"/>
        <v>1.300768386</v>
      </c>
      <c r="E131" s="31">
        <v>223.28</v>
      </c>
      <c r="F131" s="26">
        <v>0.0</v>
      </c>
    </row>
    <row r="132">
      <c r="A132" s="29" t="s">
        <v>187</v>
      </c>
      <c r="B132" s="30">
        <v>2361.0</v>
      </c>
      <c r="C132" s="31">
        <v>665.0</v>
      </c>
      <c r="D132" s="32">
        <f t="shared" si="2"/>
        <v>3.55037594</v>
      </c>
      <c r="E132" s="31">
        <v>417.5</v>
      </c>
      <c r="F132" s="26">
        <v>1.0</v>
      </c>
    </row>
    <row r="133">
      <c r="A133" s="29" t="s">
        <v>188</v>
      </c>
      <c r="B133" s="30">
        <v>1104.0</v>
      </c>
      <c r="C133" s="31">
        <v>353.0</v>
      </c>
      <c r="D133" s="32">
        <f t="shared" si="2"/>
        <v>3.127478754</v>
      </c>
      <c r="E133" s="31">
        <v>207.11</v>
      </c>
      <c r="F133" s="26">
        <v>1.0</v>
      </c>
    </row>
    <row r="134">
      <c r="A134" s="29" t="s">
        <v>189</v>
      </c>
      <c r="B134" s="30">
        <v>1444.0</v>
      </c>
      <c r="C134" s="31">
        <v>414.0</v>
      </c>
      <c r="D134" s="32">
        <f t="shared" si="2"/>
        <v>3.487922705</v>
      </c>
      <c r="E134" s="31">
        <v>240.76</v>
      </c>
      <c r="F134" s="26">
        <v>0.0</v>
      </c>
    </row>
    <row r="135">
      <c r="A135" s="29" t="s">
        <v>190</v>
      </c>
      <c r="B135" s="30">
        <v>2593.0</v>
      </c>
      <c r="C135" s="31">
        <v>1055.0</v>
      </c>
      <c r="D135" s="32">
        <f t="shared" si="2"/>
        <v>2.457819905</v>
      </c>
      <c r="E135" s="31">
        <v>468.34000000000003</v>
      </c>
      <c r="F135" s="26">
        <v>1.0</v>
      </c>
    </row>
    <row r="136">
      <c r="A136" s="29" t="s">
        <v>191</v>
      </c>
      <c r="B136" s="30">
        <v>1069.0</v>
      </c>
      <c r="C136" s="31">
        <v>678.0</v>
      </c>
      <c r="D136" s="32">
        <f t="shared" si="2"/>
        <v>1.576696165</v>
      </c>
      <c r="E136" s="31">
        <v>239.07</v>
      </c>
      <c r="F136" s="26">
        <v>0.0</v>
      </c>
    </row>
    <row r="137">
      <c r="A137" s="29" t="s">
        <v>192</v>
      </c>
      <c r="B137" s="30">
        <v>357.0</v>
      </c>
      <c r="C137" s="31">
        <v>345.0</v>
      </c>
      <c r="D137" s="32">
        <f t="shared" si="2"/>
        <v>1.034782609</v>
      </c>
      <c r="E137" s="31">
        <v>77.77</v>
      </c>
      <c r="F137" s="26">
        <v>0.0</v>
      </c>
    </row>
    <row r="138">
      <c r="A138" s="29" t="s">
        <v>193</v>
      </c>
      <c r="B138" s="30">
        <v>480.0</v>
      </c>
      <c r="C138" s="31">
        <v>429.0</v>
      </c>
      <c r="D138" s="32">
        <f t="shared" si="2"/>
        <v>1.118881119</v>
      </c>
      <c r="E138" s="31">
        <v>126.51</v>
      </c>
      <c r="F138" s="26">
        <v>0.0</v>
      </c>
    </row>
    <row r="139">
      <c r="A139" s="29" t="s">
        <v>194</v>
      </c>
      <c r="B139" s="30">
        <v>789.0</v>
      </c>
      <c r="C139" s="31">
        <v>504.0</v>
      </c>
      <c r="D139" s="32">
        <f t="shared" si="2"/>
        <v>1.56547619</v>
      </c>
      <c r="E139" s="31">
        <v>160.11</v>
      </c>
      <c r="F139" s="26">
        <v>2.0</v>
      </c>
    </row>
    <row r="140">
      <c r="A140" s="29" t="s">
        <v>195</v>
      </c>
      <c r="B140" s="30">
        <v>280.0</v>
      </c>
      <c r="C140" s="31">
        <v>267.0</v>
      </c>
      <c r="D140" s="32">
        <f t="shared" si="2"/>
        <v>1.048689139</v>
      </c>
      <c r="E140" s="31">
        <v>64.47999999999999</v>
      </c>
      <c r="F140" s="26">
        <v>1.0</v>
      </c>
    </row>
    <row r="141">
      <c r="A141" s="29" t="s">
        <v>196</v>
      </c>
      <c r="B141" s="30">
        <v>704.0</v>
      </c>
      <c r="C141" s="31">
        <v>326.0</v>
      </c>
      <c r="D141" s="32">
        <f t="shared" si="2"/>
        <v>2.159509202</v>
      </c>
      <c r="E141" s="31">
        <v>131.29000000000002</v>
      </c>
      <c r="F141" s="26">
        <v>1.0</v>
      </c>
    </row>
    <row r="142">
      <c r="A142" s="29" t="s">
        <v>197</v>
      </c>
      <c r="B142" s="30">
        <v>2092.0</v>
      </c>
      <c r="C142" s="31">
        <v>746.0</v>
      </c>
      <c r="D142" s="32">
        <f t="shared" si="2"/>
        <v>2.804289544</v>
      </c>
      <c r="E142" s="31">
        <v>392.47</v>
      </c>
      <c r="F142" s="26">
        <v>1.0</v>
      </c>
    </row>
    <row r="143">
      <c r="A143" s="29" t="s">
        <v>198</v>
      </c>
      <c r="B143" s="30">
        <v>1576.0</v>
      </c>
      <c r="C143" s="31">
        <v>746.0</v>
      </c>
      <c r="D143" s="32">
        <f t="shared" si="2"/>
        <v>2.112600536</v>
      </c>
      <c r="E143" s="31">
        <v>312.21999999999997</v>
      </c>
      <c r="F143" s="26">
        <v>1.0</v>
      </c>
    </row>
    <row r="144">
      <c r="A144" s="29" t="s">
        <v>199</v>
      </c>
      <c r="B144" s="30">
        <v>1534.0</v>
      </c>
      <c r="C144" s="31">
        <v>746.0</v>
      </c>
      <c r="D144" s="32">
        <f t="shared" si="2"/>
        <v>2.056300268</v>
      </c>
      <c r="E144" s="31">
        <v>290.6</v>
      </c>
      <c r="F144" s="26">
        <v>2.0</v>
      </c>
    </row>
    <row r="145">
      <c r="A145" s="29" t="s">
        <v>200</v>
      </c>
      <c r="B145" s="30">
        <v>890.0</v>
      </c>
      <c r="C145" s="31">
        <v>403.0</v>
      </c>
      <c r="D145" s="32">
        <f t="shared" si="2"/>
        <v>2.208436725</v>
      </c>
      <c r="E145" s="31">
        <v>143.29</v>
      </c>
      <c r="F145" s="26">
        <v>1.0</v>
      </c>
    </row>
    <row r="146">
      <c r="A146" s="29" t="s">
        <v>201</v>
      </c>
      <c r="B146" s="30">
        <v>780.0</v>
      </c>
      <c r="C146" s="31">
        <v>696.0</v>
      </c>
      <c r="D146" s="32">
        <f t="shared" si="2"/>
        <v>1.120689655</v>
      </c>
      <c r="E146" s="31">
        <v>173.19</v>
      </c>
      <c r="F146" s="26">
        <v>0.0</v>
      </c>
    </row>
    <row r="147">
      <c r="A147" s="29" t="s">
        <v>202</v>
      </c>
      <c r="B147" s="30">
        <v>417.0</v>
      </c>
      <c r="C147" s="31">
        <v>303.0</v>
      </c>
      <c r="D147" s="32">
        <f t="shared" si="2"/>
        <v>1.376237624</v>
      </c>
      <c r="E147" s="31">
        <v>92.06</v>
      </c>
      <c r="F147" s="26">
        <v>1.0</v>
      </c>
    </row>
    <row r="148">
      <c r="A148" s="29" t="s">
        <v>203</v>
      </c>
      <c r="B148" s="30">
        <v>1045.0</v>
      </c>
      <c r="C148" s="31">
        <v>714.0</v>
      </c>
      <c r="D148" s="32">
        <f t="shared" si="2"/>
        <v>1.463585434</v>
      </c>
      <c r="E148" s="31">
        <v>331.4</v>
      </c>
      <c r="F148" s="26">
        <v>0.0</v>
      </c>
    </row>
    <row r="149">
      <c r="A149" s="29" t="s">
        <v>204</v>
      </c>
      <c r="B149" s="30">
        <v>105.0</v>
      </c>
      <c r="C149" s="31">
        <v>489.0</v>
      </c>
      <c r="D149" s="32">
        <f t="shared" si="2"/>
        <v>0.2147239264</v>
      </c>
      <c r="E149" s="31">
        <v>38.05</v>
      </c>
      <c r="F149" s="26">
        <v>0.0</v>
      </c>
    </row>
    <row r="150">
      <c r="A150" s="29" t="s">
        <v>205</v>
      </c>
      <c r="B150" s="30">
        <v>428.0</v>
      </c>
      <c r="C150" s="31">
        <v>516.0</v>
      </c>
      <c r="D150" s="32">
        <f t="shared" si="2"/>
        <v>0.8294573643</v>
      </c>
      <c r="E150" s="31">
        <v>114.82000000000001</v>
      </c>
      <c r="F150" s="26">
        <v>3.0</v>
      </c>
    </row>
    <row r="151">
      <c r="A151" s="29" t="s">
        <v>206</v>
      </c>
      <c r="B151" s="30">
        <v>686.0</v>
      </c>
      <c r="C151" s="31">
        <v>396.0</v>
      </c>
      <c r="D151" s="32">
        <f t="shared" si="2"/>
        <v>1.732323232</v>
      </c>
      <c r="E151" s="31">
        <v>156.44</v>
      </c>
      <c r="F151" s="26">
        <v>0.0</v>
      </c>
    </row>
    <row r="152">
      <c r="A152" s="29" t="s">
        <v>207</v>
      </c>
      <c r="B152" s="30">
        <v>945.0</v>
      </c>
      <c r="C152" s="31">
        <v>460.0</v>
      </c>
      <c r="D152" s="32">
        <f t="shared" si="2"/>
        <v>2.054347826</v>
      </c>
      <c r="E152" s="31">
        <v>189.24</v>
      </c>
      <c r="F152" s="26">
        <v>2.0</v>
      </c>
    </row>
    <row r="153">
      <c r="A153" s="29" t="s">
        <v>208</v>
      </c>
      <c r="B153" s="30">
        <v>1793.0</v>
      </c>
      <c r="C153" s="31">
        <v>502.0</v>
      </c>
      <c r="D153" s="32">
        <f t="shared" si="2"/>
        <v>3.571713147</v>
      </c>
      <c r="E153" s="31">
        <v>324.96999999999997</v>
      </c>
      <c r="F153" s="26">
        <v>1.0</v>
      </c>
    </row>
    <row r="154">
      <c r="A154" s="29" t="s">
        <v>209</v>
      </c>
      <c r="B154" s="30">
        <v>1421.0</v>
      </c>
      <c r="C154" s="31">
        <v>768.0</v>
      </c>
      <c r="D154" s="32">
        <f t="shared" si="2"/>
        <v>1.850260417</v>
      </c>
      <c r="E154" s="31">
        <v>336.75</v>
      </c>
      <c r="F154" s="26">
        <v>0.0</v>
      </c>
    </row>
    <row r="155">
      <c r="A155" s="29" t="s">
        <v>210</v>
      </c>
      <c r="B155" s="30">
        <v>1021.0</v>
      </c>
      <c r="C155" s="31">
        <v>636.0</v>
      </c>
      <c r="D155" s="32">
        <f t="shared" si="2"/>
        <v>1.605345912</v>
      </c>
      <c r="E155" s="31">
        <v>254.71999999999997</v>
      </c>
      <c r="F155" s="26">
        <v>0.0</v>
      </c>
    </row>
    <row r="156">
      <c r="A156" s="29" t="s">
        <v>211</v>
      </c>
      <c r="B156" s="30">
        <v>932.0</v>
      </c>
      <c r="C156" s="31">
        <v>548.0</v>
      </c>
      <c r="D156" s="32">
        <f t="shared" si="2"/>
        <v>1.700729927</v>
      </c>
      <c r="E156" s="31">
        <v>211.0</v>
      </c>
      <c r="F156" s="26">
        <v>0.0</v>
      </c>
    </row>
    <row r="157">
      <c r="A157" s="29" t="s">
        <v>212</v>
      </c>
      <c r="B157" s="30">
        <v>560.0</v>
      </c>
      <c r="C157" s="31">
        <v>251.0</v>
      </c>
      <c r="D157" s="32">
        <f t="shared" si="2"/>
        <v>2.231075697</v>
      </c>
      <c r="E157" s="31">
        <v>107.36</v>
      </c>
      <c r="F157" s="26">
        <v>1.0</v>
      </c>
    </row>
    <row r="158">
      <c r="A158" s="29" t="s">
        <v>213</v>
      </c>
      <c r="B158" s="30">
        <v>531.0</v>
      </c>
      <c r="C158" s="31">
        <v>296.0</v>
      </c>
      <c r="D158" s="32">
        <f t="shared" si="2"/>
        <v>1.793918919</v>
      </c>
      <c r="E158" s="31">
        <v>113.99</v>
      </c>
      <c r="F158" s="26">
        <v>0.0</v>
      </c>
    </row>
    <row r="159">
      <c r="A159" s="29" t="s">
        <v>214</v>
      </c>
      <c r="B159" s="30">
        <v>1412.0</v>
      </c>
      <c r="C159" s="31">
        <v>479.0</v>
      </c>
      <c r="D159" s="32">
        <f t="shared" si="2"/>
        <v>2.947807933</v>
      </c>
      <c r="E159" s="31">
        <v>281.09999999999997</v>
      </c>
      <c r="F159" s="26">
        <v>0.0</v>
      </c>
    </row>
    <row r="160">
      <c r="A160" s="29" t="s">
        <v>215</v>
      </c>
      <c r="B160" s="30">
        <v>7564.0</v>
      </c>
      <c r="C160" s="26">
        <v>3170.0</v>
      </c>
      <c r="D160" s="32">
        <f t="shared" si="2"/>
        <v>2.386119874</v>
      </c>
      <c r="F160" s="26">
        <v>2.0</v>
      </c>
    </row>
    <row r="161">
      <c r="A161" s="29" t="s">
        <v>216</v>
      </c>
      <c r="B161" s="30">
        <v>6463.0</v>
      </c>
      <c r="C161" s="31">
        <v>2605.0</v>
      </c>
      <c r="D161" s="32">
        <f t="shared" si="2"/>
        <v>2.480998081</v>
      </c>
      <c r="E161" s="33">
        <v>1097.89</v>
      </c>
      <c r="F161" s="26">
        <v>3.0</v>
      </c>
    </row>
    <row r="162">
      <c r="A162" s="29" t="s">
        <v>217</v>
      </c>
      <c r="B162" s="30">
        <v>6654.0</v>
      </c>
      <c r="C162" s="31">
        <v>2860.0</v>
      </c>
      <c r="D162" s="32">
        <f t="shared" si="2"/>
        <v>2.326573427</v>
      </c>
      <c r="E162" s="33">
        <v>1178.8899999999999</v>
      </c>
      <c r="F162" s="26">
        <v>0.0</v>
      </c>
    </row>
    <row r="163">
      <c r="A163" s="29" t="s">
        <v>218</v>
      </c>
      <c r="B163" s="30">
        <v>5619.0</v>
      </c>
      <c r="C163" s="31">
        <v>2111.0</v>
      </c>
      <c r="D163" s="32">
        <f t="shared" si="2"/>
        <v>2.661771672</v>
      </c>
      <c r="E163" s="33">
        <v>923.6999999999999</v>
      </c>
      <c r="F163" s="26">
        <v>1.0</v>
      </c>
    </row>
    <row r="164">
      <c r="A164" s="29" t="s">
        <v>219</v>
      </c>
      <c r="B164" s="30">
        <v>4664.0</v>
      </c>
      <c r="C164" s="31">
        <v>1921.0</v>
      </c>
      <c r="D164" s="32">
        <f t="shared" si="2"/>
        <v>2.427902134</v>
      </c>
      <c r="E164" s="33">
        <v>877.7199999999999</v>
      </c>
      <c r="F164" s="26">
        <v>0.0</v>
      </c>
    </row>
    <row r="165">
      <c r="A165" s="29" t="s">
        <v>220</v>
      </c>
      <c r="B165" s="30">
        <v>2346.0</v>
      </c>
      <c r="C165" s="31">
        <v>2194.0</v>
      </c>
      <c r="D165" s="32">
        <f t="shared" si="2"/>
        <v>1.069279854</v>
      </c>
      <c r="E165" s="33">
        <v>531.8</v>
      </c>
      <c r="F165" s="26">
        <v>0.0</v>
      </c>
    </row>
    <row r="166">
      <c r="A166" s="29" t="s">
        <v>221</v>
      </c>
      <c r="B166" s="30">
        <v>6711.0</v>
      </c>
      <c r="C166" s="31">
        <v>2546.0</v>
      </c>
      <c r="D166" s="32">
        <f t="shared" si="2"/>
        <v>2.63589945</v>
      </c>
      <c r="E166" s="33">
        <v>1135.1299999999999</v>
      </c>
      <c r="F166" s="26">
        <v>0.0</v>
      </c>
    </row>
    <row r="167">
      <c r="A167" s="29" t="s">
        <v>222</v>
      </c>
      <c r="B167" s="30">
        <v>6722.0</v>
      </c>
      <c r="C167" s="31">
        <v>2657.0</v>
      </c>
      <c r="D167" s="32">
        <f t="shared" si="2"/>
        <v>2.529920963</v>
      </c>
      <c r="E167" s="31">
        <v>1211.69</v>
      </c>
      <c r="F167" s="26">
        <v>2.0</v>
      </c>
    </row>
    <row r="168">
      <c r="A168" s="29" t="s">
        <v>223</v>
      </c>
      <c r="B168" s="30">
        <v>1970.0</v>
      </c>
      <c r="C168" s="31">
        <v>2371.0</v>
      </c>
      <c r="D168" s="32">
        <f t="shared" si="2"/>
        <v>0.8308730493</v>
      </c>
      <c r="E168" s="31">
        <v>491.58</v>
      </c>
      <c r="F168" s="26">
        <v>1.0</v>
      </c>
    </row>
    <row r="169">
      <c r="A169" s="29" t="s">
        <v>224</v>
      </c>
      <c r="B169" s="30">
        <v>3127.0</v>
      </c>
      <c r="C169" s="31">
        <v>1926.0</v>
      </c>
      <c r="D169" s="32">
        <f t="shared" si="2"/>
        <v>1.62357217</v>
      </c>
      <c r="E169" s="31">
        <v>674.05</v>
      </c>
      <c r="F169" s="26">
        <v>0.0</v>
      </c>
    </row>
    <row r="170">
      <c r="A170" s="29" t="s">
        <v>225</v>
      </c>
      <c r="B170" s="30">
        <v>3659.0</v>
      </c>
      <c r="C170" s="31">
        <v>2063.0</v>
      </c>
      <c r="D170" s="32">
        <f t="shared" si="2"/>
        <v>1.773630635</v>
      </c>
      <c r="E170" s="31">
        <v>790.29</v>
      </c>
      <c r="F170" s="26">
        <v>1.0</v>
      </c>
    </row>
    <row r="171">
      <c r="A171" s="29" t="s">
        <v>226</v>
      </c>
      <c r="B171" s="30">
        <v>3639.0</v>
      </c>
      <c r="C171" s="31">
        <v>1924.0</v>
      </c>
      <c r="D171" s="32">
        <f t="shared" si="2"/>
        <v>1.891372141</v>
      </c>
      <c r="E171" s="31">
        <v>724.8299999999999</v>
      </c>
      <c r="F171" s="26">
        <v>1.0</v>
      </c>
    </row>
    <row r="172">
      <c r="A172" s="29"/>
      <c r="B172" s="30"/>
      <c r="D172" s="32"/>
    </row>
    <row r="173">
      <c r="A173" s="29" t="s">
        <v>227</v>
      </c>
      <c r="B173" s="30">
        <v>279.0</v>
      </c>
      <c r="C173" s="31">
        <v>77.0</v>
      </c>
      <c r="D173" s="32">
        <f t="shared" ref="D173:D256" si="3">B173/C173</f>
        <v>3.623376623</v>
      </c>
      <c r="E173" s="31">
        <v>55.61</v>
      </c>
      <c r="F173" s="26">
        <v>1.0</v>
      </c>
    </row>
    <row r="174">
      <c r="A174" s="29" t="s">
        <v>228</v>
      </c>
      <c r="B174" s="30">
        <v>317.0</v>
      </c>
      <c r="C174" s="31">
        <v>87.0</v>
      </c>
      <c r="D174" s="32">
        <f t="shared" si="3"/>
        <v>3.643678161</v>
      </c>
      <c r="E174" s="31">
        <v>45.82</v>
      </c>
      <c r="F174" s="26">
        <v>0.0</v>
      </c>
    </row>
    <row r="175">
      <c r="A175" s="29" t="s">
        <v>229</v>
      </c>
      <c r="B175" s="30">
        <v>345.0</v>
      </c>
      <c r="C175" s="31">
        <v>118.0</v>
      </c>
      <c r="D175" s="32">
        <f t="shared" si="3"/>
        <v>2.923728814</v>
      </c>
      <c r="E175" s="31">
        <v>52.019999999999996</v>
      </c>
      <c r="F175" s="26">
        <v>1.0</v>
      </c>
    </row>
    <row r="176">
      <c r="A176" s="29" t="s">
        <v>230</v>
      </c>
      <c r="B176" s="30">
        <v>265.0</v>
      </c>
      <c r="C176" s="31">
        <v>84.0</v>
      </c>
      <c r="D176" s="32">
        <f t="shared" si="3"/>
        <v>3.154761905</v>
      </c>
      <c r="E176" s="31">
        <v>36.5</v>
      </c>
      <c r="F176" s="26">
        <v>2.0</v>
      </c>
    </row>
    <row r="177">
      <c r="A177" s="29" t="s">
        <v>231</v>
      </c>
      <c r="B177" s="30">
        <v>292.0</v>
      </c>
      <c r="C177" s="31">
        <v>99.0</v>
      </c>
      <c r="D177" s="32">
        <f t="shared" si="3"/>
        <v>2.949494949</v>
      </c>
      <c r="E177" s="31">
        <v>42.959999999999994</v>
      </c>
      <c r="F177" s="26">
        <v>1.0</v>
      </c>
    </row>
    <row r="178">
      <c r="A178" s="29" t="s">
        <v>232</v>
      </c>
      <c r="B178" s="30">
        <v>68.0</v>
      </c>
      <c r="C178" s="31">
        <v>89.0</v>
      </c>
      <c r="D178" s="32">
        <f t="shared" si="3"/>
        <v>0.7640449438</v>
      </c>
      <c r="E178" s="31">
        <v>14.53</v>
      </c>
      <c r="F178" s="26">
        <v>0.0</v>
      </c>
    </row>
    <row r="179">
      <c r="A179" s="29" t="s">
        <v>233</v>
      </c>
      <c r="B179" s="30">
        <v>243.0</v>
      </c>
      <c r="C179" s="31">
        <v>74.0</v>
      </c>
      <c r="D179" s="32">
        <f t="shared" si="3"/>
        <v>3.283783784</v>
      </c>
      <c r="E179" s="31">
        <v>49.29</v>
      </c>
      <c r="F179" s="26">
        <v>1.0</v>
      </c>
    </row>
    <row r="180">
      <c r="A180" s="29" t="s">
        <v>234</v>
      </c>
      <c r="B180" s="30">
        <v>69.0</v>
      </c>
      <c r="C180" s="31">
        <v>111.0</v>
      </c>
      <c r="D180" s="32">
        <f t="shared" si="3"/>
        <v>0.6216216216</v>
      </c>
      <c r="E180" s="31">
        <v>14.44</v>
      </c>
      <c r="F180" s="26">
        <v>0.0</v>
      </c>
    </row>
    <row r="181">
      <c r="A181" s="29" t="s">
        <v>235</v>
      </c>
      <c r="B181" s="30">
        <v>252.0</v>
      </c>
      <c r="C181" s="31">
        <v>118.0</v>
      </c>
      <c r="D181" s="32">
        <f t="shared" si="3"/>
        <v>2.13559322</v>
      </c>
      <c r="E181" s="31">
        <v>40.78</v>
      </c>
      <c r="F181" s="26">
        <v>1.0</v>
      </c>
    </row>
    <row r="182">
      <c r="A182" s="29" t="s">
        <v>236</v>
      </c>
      <c r="B182" s="30">
        <v>52.0</v>
      </c>
      <c r="C182" s="31">
        <v>63.0</v>
      </c>
      <c r="D182" s="32">
        <f t="shared" si="3"/>
        <v>0.8253968254</v>
      </c>
      <c r="E182" s="31">
        <v>6.62</v>
      </c>
      <c r="F182" s="26">
        <v>0.0</v>
      </c>
    </row>
    <row r="183">
      <c r="A183" s="29" t="s">
        <v>237</v>
      </c>
      <c r="B183" s="30">
        <v>68.0</v>
      </c>
      <c r="C183" s="31">
        <v>18.0</v>
      </c>
      <c r="D183" s="32">
        <f t="shared" si="3"/>
        <v>3.777777778</v>
      </c>
      <c r="E183" s="31">
        <v>9.45</v>
      </c>
      <c r="F183" s="26">
        <v>0.0</v>
      </c>
    </row>
    <row r="184">
      <c r="A184" s="29" t="s">
        <v>238</v>
      </c>
      <c r="B184" s="30">
        <v>300.0</v>
      </c>
      <c r="C184" s="31">
        <v>89.0</v>
      </c>
      <c r="D184" s="32">
        <f t="shared" si="3"/>
        <v>3.370786517</v>
      </c>
      <c r="E184" s="31">
        <v>53.94</v>
      </c>
      <c r="F184" s="26">
        <v>0.0</v>
      </c>
    </row>
    <row r="185">
      <c r="A185" s="29" t="s">
        <v>239</v>
      </c>
      <c r="B185" s="30">
        <v>52.0</v>
      </c>
      <c r="C185" s="31">
        <v>46.0</v>
      </c>
      <c r="D185" s="32">
        <f t="shared" si="3"/>
        <v>1.130434783</v>
      </c>
      <c r="E185" s="31">
        <v>6.81</v>
      </c>
      <c r="F185" s="26">
        <v>0.0</v>
      </c>
    </row>
    <row r="186">
      <c r="A186" s="29" t="s">
        <v>240</v>
      </c>
      <c r="B186" s="30">
        <v>111.0</v>
      </c>
      <c r="C186" s="31">
        <v>46.0</v>
      </c>
      <c r="D186" s="32">
        <f t="shared" si="3"/>
        <v>2.413043478</v>
      </c>
      <c r="E186" s="31">
        <v>21.88</v>
      </c>
      <c r="F186" s="26">
        <v>0.0</v>
      </c>
    </row>
    <row r="187">
      <c r="A187" s="29" t="s">
        <v>241</v>
      </c>
      <c r="B187" s="30">
        <v>261.0</v>
      </c>
      <c r="C187" s="31">
        <v>83.0</v>
      </c>
      <c r="D187" s="32">
        <f t="shared" si="3"/>
        <v>3.144578313</v>
      </c>
      <c r="E187" s="31">
        <v>39.9</v>
      </c>
      <c r="F187" s="26">
        <v>1.0</v>
      </c>
    </row>
    <row r="188">
      <c r="A188" s="29" t="s">
        <v>242</v>
      </c>
      <c r="B188" s="30">
        <v>166.0</v>
      </c>
      <c r="C188" s="31">
        <v>48.0</v>
      </c>
      <c r="D188" s="32">
        <f t="shared" si="3"/>
        <v>3.458333333</v>
      </c>
      <c r="E188" s="31">
        <v>27.68</v>
      </c>
      <c r="F188" s="26">
        <v>0.0</v>
      </c>
    </row>
    <row r="189">
      <c r="A189" s="29" t="s">
        <v>243</v>
      </c>
      <c r="B189" s="30">
        <v>76.0</v>
      </c>
      <c r="C189" s="31">
        <v>63.0</v>
      </c>
      <c r="D189" s="32">
        <f t="shared" si="3"/>
        <v>1.206349206</v>
      </c>
      <c r="E189" s="31">
        <v>11.57</v>
      </c>
      <c r="F189" s="26">
        <v>0.0</v>
      </c>
    </row>
    <row r="190">
      <c r="A190" s="29" t="s">
        <v>244</v>
      </c>
      <c r="B190" s="30">
        <v>158.0</v>
      </c>
      <c r="C190" s="31">
        <v>42.0</v>
      </c>
      <c r="D190" s="32">
        <f t="shared" si="3"/>
        <v>3.761904762</v>
      </c>
      <c r="E190" s="31">
        <v>35.14</v>
      </c>
      <c r="F190" s="26">
        <v>1.0</v>
      </c>
    </row>
    <row r="191">
      <c r="A191" s="29" t="s">
        <v>245</v>
      </c>
      <c r="B191" s="30">
        <v>152.0</v>
      </c>
      <c r="C191" s="31">
        <v>66.0</v>
      </c>
      <c r="D191" s="32">
        <f t="shared" si="3"/>
        <v>2.303030303</v>
      </c>
      <c r="E191" s="31">
        <v>26.580000000000002</v>
      </c>
      <c r="F191" s="26">
        <v>0.0</v>
      </c>
    </row>
    <row r="192">
      <c r="A192" s="29" t="s">
        <v>246</v>
      </c>
      <c r="B192" s="30">
        <v>164.0</v>
      </c>
      <c r="C192" s="31">
        <v>78.0</v>
      </c>
      <c r="D192" s="32">
        <f t="shared" si="3"/>
        <v>2.102564103</v>
      </c>
      <c r="E192" s="31">
        <v>23.42</v>
      </c>
      <c r="F192" s="26">
        <v>1.0</v>
      </c>
    </row>
    <row r="193">
      <c r="A193" s="29" t="s">
        <v>247</v>
      </c>
      <c r="B193" s="30">
        <v>226.0</v>
      </c>
      <c r="C193" s="31">
        <v>112.0</v>
      </c>
      <c r="D193" s="32">
        <f t="shared" si="3"/>
        <v>2.017857143</v>
      </c>
      <c r="E193" s="31">
        <v>32.93</v>
      </c>
      <c r="F193" s="26">
        <v>0.0</v>
      </c>
    </row>
    <row r="194">
      <c r="A194" s="29" t="s">
        <v>248</v>
      </c>
      <c r="B194" s="30">
        <v>411.0</v>
      </c>
      <c r="C194" s="31">
        <v>117.0</v>
      </c>
      <c r="D194" s="32">
        <f t="shared" si="3"/>
        <v>3.512820513</v>
      </c>
      <c r="E194" s="31">
        <v>58.48</v>
      </c>
      <c r="F194" s="26">
        <v>1.0</v>
      </c>
    </row>
    <row r="195">
      <c r="A195" s="29" t="s">
        <v>249</v>
      </c>
      <c r="B195" s="30">
        <v>221.0</v>
      </c>
      <c r="C195" s="31">
        <v>67.0</v>
      </c>
      <c r="D195" s="32">
        <f t="shared" si="3"/>
        <v>3.298507463</v>
      </c>
      <c r="E195" s="31">
        <v>35.39</v>
      </c>
      <c r="F195" s="26">
        <v>0.0</v>
      </c>
    </row>
    <row r="196">
      <c r="A196" s="29" t="s">
        <v>250</v>
      </c>
      <c r="B196" s="30">
        <v>398.0</v>
      </c>
      <c r="C196" s="31">
        <v>118.0</v>
      </c>
      <c r="D196" s="32">
        <f t="shared" si="3"/>
        <v>3.372881356</v>
      </c>
      <c r="E196" s="31">
        <v>57.04</v>
      </c>
      <c r="F196" s="26">
        <v>1.0</v>
      </c>
    </row>
    <row r="197">
      <c r="A197" s="29" t="s">
        <v>251</v>
      </c>
      <c r="B197" s="30">
        <v>70.0</v>
      </c>
      <c r="C197" s="31">
        <v>60.0</v>
      </c>
      <c r="D197" s="32">
        <f t="shared" si="3"/>
        <v>1.166666667</v>
      </c>
      <c r="E197" s="31">
        <v>30.449999999999996</v>
      </c>
      <c r="F197" s="26">
        <v>0.0</v>
      </c>
    </row>
    <row r="198">
      <c r="A198" s="29" t="s">
        <v>252</v>
      </c>
      <c r="B198" s="30">
        <v>232.0</v>
      </c>
      <c r="C198" s="31">
        <v>54.0</v>
      </c>
      <c r="D198" s="32">
        <f t="shared" si="3"/>
        <v>4.296296296</v>
      </c>
      <c r="E198" s="31">
        <v>32.040000000000006</v>
      </c>
      <c r="F198" s="26">
        <v>0.0</v>
      </c>
    </row>
    <row r="199">
      <c r="A199" s="29" t="s">
        <v>253</v>
      </c>
      <c r="B199" s="30">
        <v>68.0</v>
      </c>
      <c r="C199" s="31">
        <v>59.0</v>
      </c>
      <c r="D199" s="32">
        <f t="shared" si="3"/>
        <v>1.152542373</v>
      </c>
      <c r="E199" s="31">
        <v>25.9</v>
      </c>
      <c r="F199" s="26">
        <v>0.0</v>
      </c>
    </row>
    <row r="200">
      <c r="A200" s="29" t="s">
        <v>254</v>
      </c>
      <c r="B200" s="30">
        <v>133.0</v>
      </c>
      <c r="C200" s="31">
        <v>29.0</v>
      </c>
      <c r="D200" s="32">
        <f t="shared" si="3"/>
        <v>4.586206897</v>
      </c>
      <c r="E200" s="31">
        <v>18.16</v>
      </c>
      <c r="F200" s="26">
        <v>0.0</v>
      </c>
    </row>
    <row r="201">
      <c r="A201" s="29" t="s">
        <v>255</v>
      </c>
      <c r="B201" s="30">
        <v>163.0</v>
      </c>
      <c r="C201" s="31">
        <v>48.0</v>
      </c>
      <c r="D201" s="32">
        <f t="shared" si="3"/>
        <v>3.395833333</v>
      </c>
      <c r="E201" s="31">
        <v>30.13</v>
      </c>
      <c r="F201" s="26">
        <v>0.0</v>
      </c>
    </row>
    <row r="202">
      <c r="A202" s="29" t="s">
        <v>256</v>
      </c>
      <c r="B202" s="30">
        <v>52.0</v>
      </c>
      <c r="C202" s="31">
        <v>52.0</v>
      </c>
      <c r="D202" s="32">
        <f t="shared" si="3"/>
        <v>1</v>
      </c>
      <c r="E202" s="31">
        <v>10.35</v>
      </c>
      <c r="F202" s="26">
        <v>0.0</v>
      </c>
    </row>
    <row r="203">
      <c r="A203" s="29" t="s">
        <v>257</v>
      </c>
      <c r="B203" s="30">
        <v>320.0</v>
      </c>
      <c r="C203" s="31">
        <v>82.0</v>
      </c>
      <c r="D203" s="32">
        <f t="shared" si="3"/>
        <v>3.902439024</v>
      </c>
      <c r="E203" s="31">
        <v>64.31</v>
      </c>
      <c r="F203" s="26">
        <v>0.0</v>
      </c>
    </row>
    <row r="204">
      <c r="A204" s="29" t="s">
        <v>258</v>
      </c>
      <c r="B204" s="30">
        <v>333.0</v>
      </c>
      <c r="C204" s="31">
        <v>109.0</v>
      </c>
      <c r="D204" s="32">
        <f t="shared" si="3"/>
        <v>3.055045872</v>
      </c>
      <c r="E204" s="31">
        <v>52.9</v>
      </c>
      <c r="F204" s="26">
        <v>0.0</v>
      </c>
    </row>
    <row r="205">
      <c r="A205" s="29" t="s">
        <v>259</v>
      </c>
      <c r="B205" s="30">
        <v>329.0</v>
      </c>
      <c r="C205" s="31">
        <v>120.0</v>
      </c>
      <c r="D205" s="32">
        <f t="shared" si="3"/>
        <v>2.741666667</v>
      </c>
      <c r="E205" s="31">
        <v>59.64</v>
      </c>
      <c r="F205" s="26">
        <v>1.0</v>
      </c>
    </row>
    <row r="206">
      <c r="A206" s="29" t="s">
        <v>260</v>
      </c>
      <c r="B206" s="30">
        <v>77.0</v>
      </c>
      <c r="C206" s="31">
        <v>32.0</v>
      </c>
      <c r="D206" s="32">
        <f t="shared" si="3"/>
        <v>2.40625</v>
      </c>
      <c r="E206" s="31">
        <v>11.02</v>
      </c>
      <c r="F206" s="26">
        <v>0.0</v>
      </c>
    </row>
    <row r="207">
      <c r="A207" s="29" t="s">
        <v>261</v>
      </c>
      <c r="B207" s="30">
        <v>94.0</v>
      </c>
      <c r="C207" s="31">
        <v>47.0</v>
      </c>
      <c r="D207" s="32">
        <f t="shared" si="3"/>
        <v>2</v>
      </c>
      <c r="E207" s="31">
        <v>16.24</v>
      </c>
      <c r="F207" s="26">
        <v>0.0</v>
      </c>
    </row>
    <row r="208">
      <c r="A208" s="29" t="s">
        <v>262</v>
      </c>
      <c r="B208" s="30">
        <v>84.0</v>
      </c>
      <c r="C208" s="31">
        <v>59.0</v>
      </c>
      <c r="D208" s="32">
        <f t="shared" si="3"/>
        <v>1.423728814</v>
      </c>
      <c r="E208" s="31">
        <v>11.24</v>
      </c>
      <c r="F208" s="26">
        <v>0.0</v>
      </c>
    </row>
    <row r="209">
      <c r="A209" s="29" t="s">
        <v>263</v>
      </c>
      <c r="B209" s="30">
        <v>1330.0</v>
      </c>
      <c r="C209" s="31">
        <v>433.0</v>
      </c>
      <c r="D209" s="32">
        <f t="shared" si="3"/>
        <v>3.071593533</v>
      </c>
      <c r="E209" s="31">
        <v>193.64000000000001</v>
      </c>
      <c r="F209" s="26">
        <v>1.0</v>
      </c>
    </row>
    <row r="210">
      <c r="A210" s="29" t="s">
        <v>264</v>
      </c>
      <c r="B210" s="30">
        <v>1583.0</v>
      </c>
      <c r="C210" s="31">
        <v>528.0</v>
      </c>
      <c r="D210" s="32">
        <f t="shared" si="3"/>
        <v>2.998106061</v>
      </c>
      <c r="E210" s="31">
        <v>228.53</v>
      </c>
      <c r="F210" s="26">
        <v>2.0</v>
      </c>
    </row>
    <row r="211">
      <c r="A211" s="29" t="s">
        <v>265</v>
      </c>
      <c r="B211" s="30">
        <v>910.0</v>
      </c>
      <c r="C211" s="31">
        <v>298.0</v>
      </c>
      <c r="D211" s="32">
        <f t="shared" si="3"/>
        <v>3.053691275</v>
      </c>
      <c r="E211" s="31">
        <v>127.94</v>
      </c>
      <c r="F211" s="26">
        <v>0.0</v>
      </c>
    </row>
    <row r="212">
      <c r="A212" s="29" t="s">
        <v>266</v>
      </c>
      <c r="B212" s="30">
        <v>52.0</v>
      </c>
      <c r="C212" s="31">
        <v>440.0</v>
      </c>
      <c r="D212" s="32">
        <f t="shared" si="3"/>
        <v>0.1181818182</v>
      </c>
      <c r="E212" s="31">
        <v>27.880000000000003</v>
      </c>
      <c r="F212" s="26">
        <v>0.0</v>
      </c>
    </row>
    <row r="213">
      <c r="A213" s="29" t="s">
        <v>267</v>
      </c>
      <c r="B213" s="30">
        <v>1966.0</v>
      </c>
      <c r="C213" s="31">
        <v>844.0</v>
      </c>
      <c r="D213" s="32">
        <f t="shared" si="3"/>
        <v>2.329383886</v>
      </c>
      <c r="E213" s="31">
        <v>310.25</v>
      </c>
      <c r="F213" s="26">
        <v>1.0</v>
      </c>
    </row>
    <row r="214">
      <c r="A214" s="29" t="s">
        <v>268</v>
      </c>
      <c r="B214" s="30">
        <v>1259.0</v>
      </c>
      <c r="C214" s="31">
        <v>442.0</v>
      </c>
      <c r="D214" s="32">
        <f t="shared" si="3"/>
        <v>2.84841629</v>
      </c>
      <c r="E214" s="31">
        <v>192.07</v>
      </c>
      <c r="F214" s="26">
        <v>0.0</v>
      </c>
    </row>
    <row r="215">
      <c r="A215" s="29" t="s">
        <v>269</v>
      </c>
      <c r="B215" s="30">
        <v>1205.0</v>
      </c>
      <c r="C215" s="31">
        <v>539.0</v>
      </c>
      <c r="D215" s="32">
        <f t="shared" si="3"/>
        <v>2.235621521</v>
      </c>
      <c r="E215" s="31">
        <v>217.2</v>
      </c>
      <c r="F215" s="26">
        <v>1.0</v>
      </c>
    </row>
    <row r="216">
      <c r="A216" s="29" t="s">
        <v>270</v>
      </c>
      <c r="B216" s="30">
        <v>2135.0</v>
      </c>
      <c r="C216" s="31">
        <v>911.0</v>
      </c>
      <c r="D216" s="32">
        <f t="shared" si="3"/>
        <v>2.343578485</v>
      </c>
      <c r="E216" s="31">
        <v>352.43</v>
      </c>
      <c r="F216" s="26">
        <v>0.0</v>
      </c>
    </row>
    <row r="217">
      <c r="A217" s="29" t="s">
        <v>271</v>
      </c>
      <c r="B217" s="30">
        <v>1976.0</v>
      </c>
      <c r="C217" s="31">
        <v>665.0</v>
      </c>
      <c r="D217" s="32">
        <f t="shared" si="3"/>
        <v>2.971428571</v>
      </c>
      <c r="E217" s="31">
        <v>292.21000000000004</v>
      </c>
      <c r="F217" s="26">
        <v>1.0</v>
      </c>
    </row>
    <row r="218">
      <c r="A218" s="29" t="s">
        <v>272</v>
      </c>
      <c r="B218" s="30">
        <v>1084.0</v>
      </c>
      <c r="C218" s="31">
        <v>353.0</v>
      </c>
      <c r="D218" s="32">
        <f t="shared" si="3"/>
        <v>3.07082153</v>
      </c>
      <c r="E218" s="31">
        <v>161.67</v>
      </c>
      <c r="F218" s="26">
        <v>1.0</v>
      </c>
    </row>
    <row r="219">
      <c r="A219" s="29" t="s">
        <v>273</v>
      </c>
      <c r="B219" s="30">
        <v>1208.0</v>
      </c>
      <c r="C219" s="31">
        <v>414.0</v>
      </c>
      <c r="D219" s="32">
        <f t="shared" si="3"/>
        <v>2.917874396</v>
      </c>
      <c r="E219" s="31">
        <v>177.63</v>
      </c>
      <c r="F219" s="26">
        <v>1.0</v>
      </c>
    </row>
    <row r="220">
      <c r="A220" s="29" t="s">
        <v>274</v>
      </c>
      <c r="B220" s="30">
        <v>2981.0</v>
      </c>
      <c r="C220" s="31">
        <v>1055.0</v>
      </c>
      <c r="D220" s="32">
        <f t="shared" si="3"/>
        <v>2.825592417</v>
      </c>
      <c r="E220" s="31">
        <v>468.21000000000004</v>
      </c>
      <c r="F220" s="26">
        <v>2.0</v>
      </c>
    </row>
    <row r="221">
      <c r="A221" s="29" t="s">
        <v>275</v>
      </c>
      <c r="B221" s="30">
        <v>1589.0</v>
      </c>
      <c r="C221" s="31">
        <v>678.0</v>
      </c>
      <c r="D221" s="32">
        <f t="shared" si="3"/>
        <v>2.343657817</v>
      </c>
      <c r="E221" s="31">
        <v>294.45</v>
      </c>
      <c r="F221" s="26">
        <v>1.0</v>
      </c>
    </row>
    <row r="222">
      <c r="A222" s="29" t="s">
        <v>276</v>
      </c>
      <c r="B222" s="30">
        <v>763.0</v>
      </c>
      <c r="C222" s="31">
        <v>345.0</v>
      </c>
      <c r="D222" s="32">
        <f t="shared" si="3"/>
        <v>2.211594203</v>
      </c>
      <c r="E222" s="31">
        <v>133.58</v>
      </c>
      <c r="F222" s="26">
        <v>0.0</v>
      </c>
    </row>
    <row r="223">
      <c r="A223" s="29" t="s">
        <v>277</v>
      </c>
      <c r="B223" s="30">
        <v>1118.0</v>
      </c>
      <c r="C223" s="31">
        <v>429.0</v>
      </c>
      <c r="D223" s="32">
        <f t="shared" si="3"/>
        <v>2.606060606</v>
      </c>
      <c r="E223" s="31">
        <v>199.14</v>
      </c>
      <c r="F223" s="26">
        <v>0.0</v>
      </c>
    </row>
    <row r="224">
      <c r="A224" s="29" t="s">
        <v>278</v>
      </c>
      <c r="B224" s="30">
        <v>1358.0</v>
      </c>
      <c r="C224" s="31">
        <v>504.0</v>
      </c>
      <c r="D224" s="32">
        <f t="shared" si="3"/>
        <v>2.694444444</v>
      </c>
      <c r="E224" s="31">
        <v>218.52</v>
      </c>
      <c r="F224" s="26">
        <v>1.0</v>
      </c>
    </row>
    <row r="225">
      <c r="A225" s="29" t="s">
        <v>279</v>
      </c>
      <c r="B225" s="30">
        <v>729.0</v>
      </c>
      <c r="C225" s="31">
        <v>267.0</v>
      </c>
      <c r="D225" s="32">
        <f t="shared" si="3"/>
        <v>2.730337079</v>
      </c>
      <c r="E225" s="31">
        <v>114.06</v>
      </c>
      <c r="F225" s="26">
        <v>2.0</v>
      </c>
    </row>
    <row r="226">
      <c r="A226" s="29" t="s">
        <v>280</v>
      </c>
      <c r="B226" s="30">
        <v>907.0</v>
      </c>
      <c r="C226" s="31">
        <v>326.0</v>
      </c>
      <c r="D226" s="32">
        <f t="shared" si="3"/>
        <v>2.782208589</v>
      </c>
      <c r="E226" s="31">
        <v>144.7</v>
      </c>
      <c r="F226" s="26">
        <v>0.0</v>
      </c>
    </row>
    <row r="227">
      <c r="A227" s="29" t="s">
        <v>281</v>
      </c>
      <c r="B227" s="30">
        <v>2160.0</v>
      </c>
      <c r="C227" s="31">
        <v>746.0</v>
      </c>
      <c r="D227" s="32">
        <f t="shared" si="3"/>
        <v>2.895442359</v>
      </c>
      <c r="E227" s="31">
        <v>342.43</v>
      </c>
      <c r="F227" s="26">
        <v>2.0</v>
      </c>
    </row>
    <row r="228">
      <c r="A228" s="29" t="s">
        <v>282</v>
      </c>
      <c r="B228" s="30">
        <v>1776.0</v>
      </c>
      <c r="C228" s="31">
        <v>746.0</v>
      </c>
      <c r="D228" s="32">
        <f t="shared" si="3"/>
        <v>2.380697051</v>
      </c>
      <c r="E228" s="31">
        <v>305.65999999999997</v>
      </c>
      <c r="F228" s="26">
        <v>3.0</v>
      </c>
    </row>
    <row r="229">
      <c r="A229" s="29" t="s">
        <v>283</v>
      </c>
      <c r="B229" s="30">
        <v>2000.0</v>
      </c>
      <c r="C229" s="31">
        <v>746.0</v>
      </c>
      <c r="D229" s="32">
        <f t="shared" si="3"/>
        <v>2.680965147</v>
      </c>
      <c r="E229" s="31">
        <v>324.04</v>
      </c>
      <c r="F229" s="26">
        <v>1.0</v>
      </c>
    </row>
    <row r="230">
      <c r="A230" s="29" t="s">
        <v>284</v>
      </c>
      <c r="B230" s="30">
        <v>1344.0</v>
      </c>
      <c r="C230" s="31">
        <v>403.0</v>
      </c>
      <c r="D230" s="32">
        <f t="shared" si="3"/>
        <v>3.334987593</v>
      </c>
      <c r="E230" s="31">
        <v>185.04999999999998</v>
      </c>
      <c r="F230" s="26">
        <v>1.0</v>
      </c>
    </row>
    <row r="231">
      <c r="A231" s="29" t="s">
        <v>285</v>
      </c>
      <c r="B231" s="30">
        <v>1893.0</v>
      </c>
      <c r="C231" s="31">
        <v>696.0</v>
      </c>
      <c r="D231" s="32">
        <f t="shared" si="3"/>
        <v>2.719827586</v>
      </c>
      <c r="E231" s="31">
        <v>307.57</v>
      </c>
      <c r="F231" s="26">
        <v>1.0</v>
      </c>
    </row>
    <row r="232">
      <c r="A232" s="29" t="s">
        <v>286</v>
      </c>
      <c r="B232" s="30">
        <v>844.0</v>
      </c>
      <c r="C232" s="31">
        <v>303.0</v>
      </c>
      <c r="D232" s="32">
        <f t="shared" si="3"/>
        <v>2.785478548</v>
      </c>
      <c r="E232" s="31">
        <v>142.16</v>
      </c>
      <c r="F232" s="26">
        <v>2.0</v>
      </c>
    </row>
    <row r="233">
      <c r="A233" s="29" t="s">
        <v>287</v>
      </c>
      <c r="B233" s="30">
        <v>1995.0</v>
      </c>
      <c r="C233" s="31">
        <v>714.0</v>
      </c>
      <c r="D233" s="32">
        <f t="shared" si="3"/>
        <v>2.794117647</v>
      </c>
      <c r="E233" s="31">
        <v>414.89</v>
      </c>
      <c r="F233" s="26">
        <v>2.0</v>
      </c>
    </row>
    <row r="234">
      <c r="A234" s="29" t="s">
        <v>288</v>
      </c>
      <c r="B234" s="30">
        <v>1190.0</v>
      </c>
      <c r="C234" s="31">
        <v>489.0</v>
      </c>
      <c r="D234" s="32">
        <f t="shared" si="3"/>
        <v>2.433537832</v>
      </c>
      <c r="E234" s="31">
        <v>212.19</v>
      </c>
      <c r="F234" s="26">
        <v>0.0</v>
      </c>
    </row>
    <row r="235">
      <c r="A235" s="29" t="s">
        <v>289</v>
      </c>
      <c r="B235" s="30">
        <v>1395.0</v>
      </c>
      <c r="C235" s="31">
        <v>516.0</v>
      </c>
      <c r="D235" s="32">
        <f t="shared" si="3"/>
        <v>2.703488372</v>
      </c>
      <c r="E235" s="31">
        <v>221.26</v>
      </c>
      <c r="F235" s="26">
        <v>2.0</v>
      </c>
    </row>
    <row r="236">
      <c r="A236" s="29" t="s">
        <v>290</v>
      </c>
      <c r="B236" s="30">
        <v>1120.0</v>
      </c>
      <c r="C236" s="31">
        <v>396.0</v>
      </c>
      <c r="D236" s="32">
        <f t="shared" si="3"/>
        <v>2.828282828</v>
      </c>
      <c r="E236" s="31">
        <v>175.73</v>
      </c>
      <c r="F236" s="26">
        <v>0.0</v>
      </c>
    </row>
    <row r="237">
      <c r="A237" s="29" t="s">
        <v>291</v>
      </c>
      <c r="B237" s="30">
        <v>1468.0</v>
      </c>
      <c r="C237" s="31">
        <v>460.0</v>
      </c>
      <c r="D237" s="32">
        <f t="shared" si="3"/>
        <v>3.191304348</v>
      </c>
      <c r="E237" s="31">
        <v>218.5</v>
      </c>
      <c r="F237" s="26">
        <v>2.0</v>
      </c>
    </row>
    <row r="238">
      <c r="A238" s="29" t="s">
        <v>292</v>
      </c>
      <c r="B238" s="30">
        <v>1412.0</v>
      </c>
      <c r="C238" s="31">
        <v>502.0</v>
      </c>
      <c r="D238" s="32">
        <f t="shared" si="3"/>
        <v>2.812749004</v>
      </c>
      <c r="E238" s="31">
        <v>239.41</v>
      </c>
      <c r="F238" s="26">
        <v>1.0</v>
      </c>
    </row>
    <row r="239">
      <c r="A239" s="29" t="s">
        <v>293</v>
      </c>
      <c r="B239" s="30">
        <v>1114.0</v>
      </c>
      <c r="C239" s="31">
        <v>768.0</v>
      </c>
      <c r="D239" s="32">
        <f t="shared" si="3"/>
        <v>1.450520833</v>
      </c>
      <c r="E239" s="31">
        <v>229.24</v>
      </c>
      <c r="F239" s="26">
        <v>0.0</v>
      </c>
    </row>
    <row r="240">
      <c r="A240" s="29" t="s">
        <v>294</v>
      </c>
      <c r="B240" s="30">
        <v>1298.0</v>
      </c>
      <c r="C240" s="31">
        <v>636.0</v>
      </c>
      <c r="D240" s="32">
        <f t="shared" si="3"/>
        <v>2.040880503</v>
      </c>
      <c r="E240" s="31">
        <v>252.68</v>
      </c>
      <c r="F240" s="26">
        <v>1.0</v>
      </c>
    </row>
    <row r="241">
      <c r="A241" s="29" t="s">
        <v>295</v>
      </c>
      <c r="B241" s="30">
        <v>1180.0</v>
      </c>
      <c r="C241" s="31">
        <v>548.0</v>
      </c>
      <c r="D241" s="32">
        <f t="shared" si="3"/>
        <v>2.153284672</v>
      </c>
      <c r="E241" s="31">
        <v>226.85000000000002</v>
      </c>
      <c r="F241" s="26">
        <v>0.0</v>
      </c>
    </row>
    <row r="242">
      <c r="A242" s="29" t="s">
        <v>296</v>
      </c>
      <c r="B242" s="30">
        <v>259.0</v>
      </c>
      <c r="C242" s="31">
        <v>251.0</v>
      </c>
      <c r="D242" s="32">
        <f t="shared" si="3"/>
        <v>1.03187251</v>
      </c>
      <c r="E242" s="31">
        <v>48.28</v>
      </c>
      <c r="F242" s="26">
        <v>1.0</v>
      </c>
    </row>
    <row r="243">
      <c r="A243" s="29" t="s">
        <v>297</v>
      </c>
      <c r="B243" s="30">
        <v>560.0</v>
      </c>
      <c r="C243" s="31">
        <v>296.0</v>
      </c>
      <c r="D243" s="32">
        <f t="shared" si="3"/>
        <v>1.891891892</v>
      </c>
      <c r="E243" s="31">
        <v>93.78</v>
      </c>
      <c r="F243" s="26">
        <v>1.0</v>
      </c>
    </row>
    <row r="244">
      <c r="A244" s="29" t="s">
        <v>298</v>
      </c>
      <c r="B244" s="30">
        <v>1283.0</v>
      </c>
      <c r="C244" s="31">
        <v>479.0</v>
      </c>
      <c r="D244" s="32">
        <f t="shared" si="3"/>
        <v>2.678496868</v>
      </c>
      <c r="E244" s="31">
        <v>219.61</v>
      </c>
      <c r="F244" s="26">
        <v>1.0</v>
      </c>
    </row>
    <row r="245">
      <c r="A245" s="29" t="s">
        <v>299</v>
      </c>
      <c r="B245" s="30">
        <v>8669.0</v>
      </c>
      <c r="C245" s="26">
        <v>3170.0</v>
      </c>
      <c r="D245" s="32">
        <f t="shared" si="3"/>
        <v>2.734700315</v>
      </c>
      <c r="F245" s="26">
        <v>2.0</v>
      </c>
    </row>
    <row r="246">
      <c r="A246" s="29" t="s">
        <v>300</v>
      </c>
      <c r="B246" s="30">
        <v>6910.0</v>
      </c>
      <c r="C246" s="31">
        <v>2605.0</v>
      </c>
      <c r="D246" s="32">
        <f t="shared" si="3"/>
        <v>2.652591171</v>
      </c>
      <c r="E246" s="33">
        <v>1029.1100000000001</v>
      </c>
      <c r="F246" s="26">
        <v>3.0</v>
      </c>
    </row>
    <row r="247">
      <c r="A247" s="29" t="s">
        <v>301</v>
      </c>
      <c r="B247" s="30">
        <v>7496.0</v>
      </c>
      <c r="C247" s="31">
        <v>2860.0</v>
      </c>
      <c r="D247" s="32">
        <f t="shared" si="3"/>
        <v>2.620979021</v>
      </c>
      <c r="E247" s="33">
        <v>1146.5900000000001</v>
      </c>
      <c r="F247" s="26">
        <v>1.0</v>
      </c>
    </row>
    <row r="248">
      <c r="A248" s="29" t="s">
        <v>302</v>
      </c>
      <c r="B248" s="30">
        <v>6185.0</v>
      </c>
      <c r="C248" s="31">
        <v>2111.0</v>
      </c>
      <c r="D248" s="32">
        <f t="shared" si="3"/>
        <v>2.929891047</v>
      </c>
      <c r="E248" s="33">
        <v>895.5</v>
      </c>
      <c r="F248" s="26">
        <v>2.0</v>
      </c>
    </row>
    <row r="249">
      <c r="A249" s="29" t="s">
        <v>303</v>
      </c>
      <c r="B249" s="30">
        <v>4681.0</v>
      </c>
      <c r="C249" s="31">
        <v>1921.0</v>
      </c>
      <c r="D249" s="32">
        <f t="shared" si="3"/>
        <v>2.436751692</v>
      </c>
      <c r="E249" s="33">
        <v>791.45</v>
      </c>
      <c r="F249" s="26">
        <v>0.0</v>
      </c>
    </row>
    <row r="250">
      <c r="A250" s="29" t="s">
        <v>304</v>
      </c>
      <c r="B250" s="30">
        <v>4598.0</v>
      </c>
      <c r="C250" s="31">
        <v>2194.0</v>
      </c>
      <c r="D250" s="32">
        <f t="shared" si="3"/>
        <v>2.095715588</v>
      </c>
      <c r="E250" s="33">
        <v>821.81</v>
      </c>
      <c r="F250" s="26">
        <v>0.0</v>
      </c>
    </row>
    <row r="251">
      <c r="A251" s="29" t="s">
        <v>305</v>
      </c>
      <c r="B251" s="30">
        <v>7021.0</v>
      </c>
      <c r="C251" s="31">
        <v>2546.0</v>
      </c>
      <c r="D251" s="32">
        <f t="shared" si="3"/>
        <v>2.757659073</v>
      </c>
      <c r="E251" s="33">
        <v>1104.0</v>
      </c>
      <c r="F251" s="26">
        <v>0.0</v>
      </c>
    </row>
    <row r="252">
      <c r="A252" s="29" t="s">
        <v>306</v>
      </c>
      <c r="B252" s="30">
        <v>7581.0</v>
      </c>
      <c r="C252" s="31">
        <v>2657.0</v>
      </c>
      <c r="D252" s="32">
        <f t="shared" si="3"/>
        <v>2.853217915</v>
      </c>
      <c r="E252" s="31">
        <v>1153.32</v>
      </c>
      <c r="F252" s="26">
        <v>1.0</v>
      </c>
    </row>
    <row r="253">
      <c r="A253" s="29" t="s">
        <v>307</v>
      </c>
      <c r="B253" s="30">
        <v>6079.0</v>
      </c>
      <c r="C253" s="31">
        <v>2371.0</v>
      </c>
      <c r="D253" s="32">
        <f t="shared" si="3"/>
        <v>2.56389709</v>
      </c>
      <c r="E253" s="31">
        <v>1011.1899999999999</v>
      </c>
      <c r="F253" s="26">
        <v>3.0</v>
      </c>
    </row>
    <row r="254">
      <c r="A254" s="29" t="s">
        <v>308</v>
      </c>
      <c r="B254" s="30">
        <v>4425.0</v>
      </c>
      <c r="C254" s="31">
        <v>1926.0</v>
      </c>
      <c r="D254" s="32">
        <f t="shared" si="3"/>
        <v>2.297507788</v>
      </c>
      <c r="E254" s="31">
        <v>718.48</v>
      </c>
      <c r="F254" s="26">
        <v>0.0</v>
      </c>
    </row>
    <row r="255">
      <c r="A255" s="29" t="s">
        <v>309</v>
      </c>
      <c r="B255" s="30">
        <v>5708.0</v>
      </c>
      <c r="C255" s="31">
        <v>2063.0</v>
      </c>
      <c r="D255" s="32">
        <f t="shared" si="3"/>
        <v>2.766844401</v>
      </c>
      <c r="E255" s="31">
        <v>933.48</v>
      </c>
      <c r="F255" s="26">
        <v>1.0</v>
      </c>
    </row>
    <row r="256">
      <c r="A256" s="29" t="s">
        <v>310</v>
      </c>
      <c r="B256" s="30">
        <v>5093.0</v>
      </c>
      <c r="C256" s="31">
        <v>1924.0</v>
      </c>
      <c r="D256" s="32">
        <f t="shared" si="3"/>
        <v>2.647089397</v>
      </c>
      <c r="E256" s="31">
        <v>839.3900000000001</v>
      </c>
      <c r="F256" s="26">
        <v>1.0</v>
      </c>
    </row>
    <row r="257">
      <c r="A257" s="29"/>
      <c r="B257" s="30"/>
      <c r="D257" s="32"/>
    </row>
    <row r="258">
      <c r="A258" s="29" t="s">
        <v>311</v>
      </c>
      <c r="B258" s="30">
        <v>375.0</v>
      </c>
      <c r="C258" s="31">
        <v>77.0</v>
      </c>
      <c r="D258" s="32">
        <f t="shared" ref="D258:D341" si="4">B258/C258</f>
        <v>4.87012987</v>
      </c>
      <c r="E258" s="31">
        <v>75.52</v>
      </c>
      <c r="F258" s="26">
        <v>1.0</v>
      </c>
    </row>
    <row r="259">
      <c r="A259" s="29" t="s">
        <v>312</v>
      </c>
      <c r="B259" s="30">
        <v>229.0</v>
      </c>
      <c r="C259" s="31">
        <v>87.0</v>
      </c>
      <c r="D259" s="32">
        <f t="shared" si="4"/>
        <v>2.632183908</v>
      </c>
      <c r="E259" s="31">
        <v>32.44</v>
      </c>
      <c r="F259" s="26">
        <v>0.0</v>
      </c>
    </row>
    <row r="260">
      <c r="A260" s="29" t="s">
        <v>313</v>
      </c>
      <c r="B260" s="30">
        <v>330.0</v>
      </c>
      <c r="C260" s="31">
        <v>118.0</v>
      </c>
      <c r="D260" s="32">
        <f t="shared" si="4"/>
        <v>2.796610169</v>
      </c>
      <c r="E260" s="31">
        <v>51.3</v>
      </c>
      <c r="F260" s="26">
        <v>1.0</v>
      </c>
    </row>
    <row r="261">
      <c r="A261" s="29" t="s">
        <v>314</v>
      </c>
      <c r="B261" s="30">
        <v>367.0</v>
      </c>
      <c r="C261" s="31">
        <v>84.0</v>
      </c>
      <c r="D261" s="32">
        <f t="shared" si="4"/>
        <v>4.369047619</v>
      </c>
      <c r="E261" s="31">
        <v>43.71</v>
      </c>
      <c r="F261" s="26">
        <v>2.0</v>
      </c>
    </row>
    <row r="262">
      <c r="A262" s="29" t="s">
        <v>315</v>
      </c>
      <c r="B262" s="30">
        <v>600.0</v>
      </c>
      <c r="C262" s="31">
        <v>99.0</v>
      </c>
      <c r="D262" s="32">
        <f t="shared" si="4"/>
        <v>6.060606061</v>
      </c>
      <c r="E262" s="31">
        <v>88.83</v>
      </c>
      <c r="F262" s="26">
        <v>1.0</v>
      </c>
    </row>
    <row r="263">
      <c r="A263" s="29" t="s">
        <v>316</v>
      </c>
      <c r="B263" s="30">
        <v>423.0</v>
      </c>
      <c r="C263" s="31">
        <v>89.0</v>
      </c>
      <c r="D263" s="32">
        <f t="shared" si="4"/>
        <v>4.752808989</v>
      </c>
      <c r="E263" s="31">
        <v>57.49</v>
      </c>
      <c r="F263" s="26">
        <v>2.0</v>
      </c>
    </row>
    <row r="264">
      <c r="A264" s="29" t="s">
        <v>317</v>
      </c>
      <c r="B264" s="30">
        <v>349.0</v>
      </c>
      <c r="C264" s="31">
        <v>74.0</v>
      </c>
      <c r="D264" s="32">
        <f t="shared" si="4"/>
        <v>4.716216216</v>
      </c>
      <c r="E264" s="31">
        <v>64.78</v>
      </c>
      <c r="F264" s="26">
        <v>1.0</v>
      </c>
    </row>
    <row r="265">
      <c r="A265" s="29" t="s">
        <v>318</v>
      </c>
      <c r="B265" s="30">
        <v>269.0</v>
      </c>
      <c r="C265" s="31">
        <v>111.0</v>
      </c>
      <c r="D265" s="32">
        <f t="shared" si="4"/>
        <v>2.423423423</v>
      </c>
      <c r="E265" s="31">
        <v>44.15</v>
      </c>
      <c r="F265" s="26">
        <v>0.0</v>
      </c>
    </row>
    <row r="266">
      <c r="A266" s="29" t="s">
        <v>319</v>
      </c>
      <c r="B266" s="30">
        <v>300.0</v>
      </c>
      <c r="C266" s="31">
        <v>118.0</v>
      </c>
      <c r="D266" s="32">
        <f t="shared" si="4"/>
        <v>2.542372881</v>
      </c>
      <c r="E266" s="31">
        <v>60.45</v>
      </c>
      <c r="F266" s="26">
        <v>1.0</v>
      </c>
    </row>
    <row r="267">
      <c r="A267" s="29" t="s">
        <v>320</v>
      </c>
      <c r="B267" s="30">
        <v>291.0</v>
      </c>
      <c r="C267" s="31">
        <v>63.0</v>
      </c>
      <c r="D267" s="32">
        <f t="shared" si="4"/>
        <v>4.619047619</v>
      </c>
      <c r="E267" s="31">
        <v>39.99</v>
      </c>
      <c r="F267" s="26">
        <v>1.0</v>
      </c>
    </row>
    <row r="268">
      <c r="A268" s="29" t="s">
        <v>321</v>
      </c>
      <c r="B268" s="30">
        <v>89.0</v>
      </c>
      <c r="C268" s="31">
        <v>18.0</v>
      </c>
      <c r="D268" s="32">
        <f t="shared" si="4"/>
        <v>4.944444444</v>
      </c>
      <c r="E268" s="31">
        <v>13.989999999999998</v>
      </c>
      <c r="F268" s="26">
        <v>1.0</v>
      </c>
    </row>
    <row r="269">
      <c r="A269" s="29" t="s">
        <v>322</v>
      </c>
      <c r="B269" s="30">
        <v>341.0</v>
      </c>
      <c r="C269" s="31">
        <v>89.0</v>
      </c>
      <c r="D269" s="32">
        <f t="shared" si="4"/>
        <v>3.831460674</v>
      </c>
      <c r="E269" s="31">
        <v>73.84</v>
      </c>
      <c r="F269" s="26">
        <v>0.0</v>
      </c>
    </row>
    <row r="270">
      <c r="A270" s="29" t="s">
        <v>323</v>
      </c>
      <c r="B270" s="30">
        <v>211.0</v>
      </c>
      <c r="C270" s="31">
        <v>46.0</v>
      </c>
      <c r="D270" s="32">
        <f t="shared" si="4"/>
        <v>4.586956522</v>
      </c>
      <c r="E270" s="31">
        <v>36.21</v>
      </c>
      <c r="F270" s="26">
        <v>0.0</v>
      </c>
    </row>
    <row r="271">
      <c r="A271" s="29" t="s">
        <v>324</v>
      </c>
      <c r="B271" s="30">
        <v>147.0</v>
      </c>
      <c r="C271" s="31">
        <v>46.0</v>
      </c>
      <c r="D271" s="32">
        <f t="shared" si="4"/>
        <v>3.195652174</v>
      </c>
      <c r="E271" s="31">
        <v>31.599999999999998</v>
      </c>
      <c r="F271" s="26">
        <v>0.0</v>
      </c>
    </row>
    <row r="272">
      <c r="A272" s="29" t="s">
        <v>325</v>
      </c>
      <c r="B272" s="30">
        <v>256.0</v>
      </c>
      <c r="C272" s="31">
        <v>83.0</v>
      </c>
      <c r="D272" s="32">
        <f t="shared" si="4"/>
        <v>3.084337349</v>
      </c>
      <c r="E272" s="31">
        <v>43.25</v>
      </c>
      <c r="F272" s="26">
        <v>1.0</v>
      </c>
    </row>
    <row r="273">
      <c r="A273" s="29" t="s">
        <v>326</v>
      </c>
      <c r="B273" s="30">
        <v>188.0</v>
      </c>
      <c r="C273" s="31">
        <v>48.0</v>
      </c>
      <c r="D273" s="32">
        <f t="shared" si="4"/>
        <v>3.916666667</v>
      </c>
      <c r="E273" s="31">
        <v>33.9</v>
      </c>
      <c r="F273" s="26">
        <v>0.0</v>
      </c>
    </row>
    <row r="274">
      <c r="A274" s="29" t="s">
        <v>327</v>
      </c>
      <c r="B274" s="30">
        <v>150.0</v>
      </c>
      <c r="C274" s="31">
        <v>63.0</v>
      </c>
      <c r="D274" s="32">
        <f t="shared" si="4"/>
        <v>2.380952381</v>
      </c>
      <c r="E274" s="31">
        <v>24.240000000000002</v>
      </c>
      <c r="F274" s="26">
        <v>0.0</v>
      </c>
    </row>
    <row r="275">
      <c r="A275" s="29" t="s">
        <v>328</v>
      </c>
      <c r="B275" s="30">
        <v>116.0</v>
      </c>
      <c r="C275" s="31">
        <v>42.0</v>
      </c>
      <c r="D275" s="32">
        <f t="shared" si="4"/>
        <v>2.761904762</v>
      </c>
      <c r="E275" s="31">
        <v>32.629999999999995</v>
      </c>
      <c r="F275" s="26">
        <v>2.0</v>
      </c>
    </row>
    <row r="276">
      <c r="A276" s="29" t="s">
        <v>329</v>
      </c>
      <c r="B276" s="30">
        <v>197.0</v>
      </c>
      <c r="C276" s="31">
        <v>66.0</v>
      </c>
      <c r="D276" s="32">
        <f t="shared" si="4"/>
        <v>2.984848485</v>
      </c>
      <c r="E276" s="31">
        <v>32.5</v>
      </c>
      <c r="F276" s="26">
        <v>1.0</v>
      </c>
    </row>
    <row r="277">
      <c r="A277" s="29" t="s">
        <v>330</v>
      </c>
      <c r="B277" s="30">
        <v>232.0</v>
      </c>
      <c r="C277" s="31">
        <v>78.0</v>
      </c>
      <c r="D277" s="32">
        <f t="shared" si="4"/>
        <v>2.974358974</v>
      </c>
      <c r="E277" s="31">
        <v>45.64</v>
      </c>
      <c r="F277" s="26">
        <v>0.0</v>
      </c>
    </row>
    <row r="278">
      <c r="A278" s="29" t="s">
        <v>331</v>
      </c>
      <c r="B278" s="30">
        <v>277.0</v>
      </c>
      <c r="C278" s="31">
        <v>112.0</v>
      </c>
      <c r="D278" s="32">
        <f t="shared" si="4"/>
        <v>2.473214286</v>
      </c>
      <c r="E278" s="31">
        <v>51.59</v>
      </c>
      <c r="F278" s="26">
        <v>1.0</v>
      </c>
    </row>
    <row r="279">
      <c r="A279" s="29" t="s">
        <v>332</v>
      </c>
      <c r="B279" s="30">
        <v>311.0</v>
      </c>
      <c r="C279" s="31">
        <v>117.0</v>
      </c>
      <c r="D279" s="32">
        <f t="shared" si="4"/>
        <v>2.658119658</v>
      </c>
      <c r="E279" s="31">
        <v>46.41</v>
      </c>
      <c r="F279" s="26">
        <v>1.0</v>
      </c>
    </row>
    <row r="280">
      <c r="A280" s="29" t="s">
        <v>333</v>
      </c>
      <c r="B280" s="30">
        <v>121.0</v>
      </c>
      <c r="C280" s="31">
        <v>67.0</v>
      </c>
      <c r="D280" s="32">
        <f t="shared" si="4"/>
        <v>1.805970149</v>
      </c>
      <c r="E280" s="31">
        <v>21.66</v>
      </c>
      <c r="F280" s="26">
        <v>0.0</v>
      </c>
    </row>
    <row r="281">
      <c r="A281" s="29" t="s">
        <v>334</v>
      </c>
      <c r="B281" s="30">
        <v>210.0</v>
      </c>
      <c r="C281" s="31">
        <v>118.0</v>
      </c>
      <c r="D281" s="32">
        <f t="shared" si="4"/>
        <v>1.779661017</v>
      </c>
      <c r="E281" s="31">
        <v>37.25</v>
      </c>
      <c r="F281" s="26">
        <v>0.0</v>
      </c>
    </row>
    <row r="282">
      <c r="A282" s="29" t="s">
        <v>335</v>
      </c>
      <c r="B282" s="30">
        <v>309.0</v>
      </c>
      <c r="C282" s="31">
        <v>60.0</v>
      </c>
      <c r="D282" s="32">
        <f t="shared" si="4"/>
        <v>5.15</v>
      </c>
      <c r="E282" s="31">
        <v>64.88</v>
      </c>
      <c r="F282" s="26">
        <v>1.0</v>
      </c>
    </row>
    <row r="283">
      <c r="A283" s="29" t="s">
        <v>336</v>
      </c>
      <c r="B283" s="30">
        <v>229.0</v>
      </c>
      <c r="C283" s="31">
        <v>54.0</v>
      </c>
      <c r="D283" s="32">
        <f t="shared" si="4"/>
        <v>4.240740741</v>
      </c>
      <c r="E283" s="31">
        <v>34.3</v>
      </c>
      <c r="F283" s="26">
        <v>1.0</v>
      </c>
    </row>
    <row r="284">
      <c r="A284" s="29" t="s">
        <v>337</v>
      </c>
      <c r="B284" s="30">
        <v>204.0</v>
      </c>
      <c r="C284" s="31">
        <v>59.0</v>
      </c>
      <c r="D284" s="32">
        <f t="shared" si="4"/>
        <v>3.457627119</v>
      </c>
      <c r="E284" s="31">
        <v>48.03999999999999</v>
      </c>
      <c r="F284" s="26">
        <v>1.0</v>
      </c>
    </row>
    <row r="285">
      <c r="A285" s="29" t="s">
        <v>338</v>
      </c>
      <c r="B285" s="30">
        <v>166.0</v>
      </c>
      <c r="C285" s="31">
        <v>29.0</v>
      </c>
      <c r="D285" s="32">
        <f t="shared" si="4"/>
        <v>5.724137931</v>
      </c>
      <c r="E285" s="31">
        <v>23.669999999999998</v>
      </c>
      <c r="F285" s="26">
        <v>1.0</v>
      </c>
    </row>
    <row r="286">
      <c r="A286" s="29" t="s">
        <v>339</v>
      </c>
      <c r="B286" s="30">
        <v>174.0</v>
      </c>
      <c r="C286" s="31">
        <v>48.0</v>
      </c>
      <c r="D286" s="32">
        <f t="shared" si="4"/>
        <v>3.625</v>
      </c>
      <c r="E286" s="31">
        <v>32.33</v>
      </c>
      <c r="F286" s="26">
        <v>0.0</v>
      </c>
    </row>
    <row r="287">
      <c r="A287" s="29" t="s">
        <v>340</v>
      </c>
      <c r="B287" s="30">
        <v>200.0</v>
      </c>
      <c r="C287" s="31">
        <v>52.0</v>
      </c>
      <c r="D287" s="32">
        <f t="shared" si="4"/>
        <v>3.846153846</v>
      </c>
      <c r="E287" s="31">
        <v>40.58</v>
      </c>
      <c r="F287" s="26">
        <v>1.0</v>
      </c>
    </row>
    <row r="288">
      <c r="A288" s="29" t="s">
        <v>341</v>
      </c>
      <c r="B288" s="30">
        <v>217.0</v>
      </c>
      <c r="C288" s="31">
        <v>82.0</v>
      </c>
      <c r="D288" s="32">
        <f t="shared" si="4"/>
        <v>2.646341463</v>
      </c>
      <c r="E288" s="31">
        <v>60.72</v>
      </c>
      <c r="F288" s="26">
        <v>0.0</v>
      </c>
    </row>
    <row r="289">
      <c r="A289" s="29" t="s">
        <v>342</v>
      </c>
      <c r="B289" s="30">
        <v>278.0</v>
      </c>
      <c r="C289" s="31">
        <v>109.0</v>
      </c>
      <c r="D289" s="32">
        <f t="shared" si="4"/>
        <v>2.550458716</v>
      </c>
      <c r="E289" s="31">
        <v>49.3</v>
      </c>
      <c r="F289" s="26">
        <v>0.0</v>
      </c>
    </row>
    <row r="290">
      <c r="A290" s="29" t="s">
        <v>343</v>
      </c>
      <c r="B290" s="30">
        <v>243.0</v>
      </c>
      <c r="C290" s="31">
        <v>120.0</v>
      </c>
      <c r="D290" s="32">
        <f t="shared" si="4"/>
        <v>2.025</v>
      </c>
      <c r="E290" s="31">
        <v>51.949999999999996</v>
      </c>
      <c r="F290" s="26">
        <v>0.0</v>
      </c>
    </row>
    <row r="291">
      <c r="A291" s="29" t="s">
        <v>344</v>
      </c>
      <c r="B291" s="30">
        <v>228.0</v>
      </c>
      <c r="C291" s="31">
        <v>32.0</v>
      </c>
      <c r="D291" s="32">
        <f t="shared" si="4"/>
        <v>7.125</v>
      </c>
      <c r="E291" s="31">
        <v>36.36</v>
      </c>
      <c r="F291" s="26">
        <v>1.0</v>
      </c>
    </row>
    <row r="292">
      <c r="A292" s="29" t="s">
        <v>345</v>
      </c>
      <c r="B292" s="30">
        <v>364.0</v>
      </c>
      <c r="C292" s="31">
        <v>47.0</v>
      </c>
      <c r="D292" s="32">
        <f t="shared" si="4"/>
        <v>7.744680851</v>
      </c>
      <c r="E292" s="31">
        <v>71.50999999999999</v>
      </c>
      <c r="F292" s="26">
        <v>1.0</v>
      </c>
    </row>
    <row r="293">
      <c r="A293" s="29" t="s">
        <v>346</v>
      </c>
      <c r="B293" s="30">
        <v>220.0</v>
      </c>
      <c r="C293" s="31">
        <v>59.0</v>
      </c>
      <c r="D293" s="32">
        <f t="shared" si="4"/>
        <v>3.728813559</v>
      </c>
      <c r="E293" s="31">
        <v>40.510000000000005</v>
      </c>
      <c r="F293" s="26">
        <v>2.0</v>
      </c>
    </row>
    <row r="294">
      <c r="A294" s="29" t="s">
        <v>347</v>
      </c>
      <c r="B294" s="30">
        <v>1201.0</v>
      </c>
      <c r="C294" s="31">
        <v>433.0</v>
      </c>
      <c r="D294" s="32">
        <f t="shared" si="4"/>
        <v>2.773672055</v>
      </c>
      <c r="E294" s="31">
        <v>197.93</v>
      </c>
      <c r="F294" s="26">
        <v>1.0</v>
      </c>
    </row>
    <row r="295">
      <c r="A295" s="29" t="s">
        <v>348</v>
      </c>
      <c r="B295" s="30">
        <v>1457.0</v>
      </c>
      <c r="C295" s="31">
        <v>528.0</v>
      </c>
      <c r="D295" s="32">
        <f t="shared" si="4"/>
        <v>2.759469697</v>
      </c>
      <c r="E295" s="31">
        <v>240.55</v>
      </c>
      <c r="F295" s="26">
        <v>0.0</v>
      </c>
    </row>
    <row r="296">
      <c r="A296" s="29" t="s">
        <v>349</v>
      </c>
      <c r="B296" s="30">
        <v>726.0</v>
      </c>
      <c r="C296" s="31">
        <v>298.0</v>
      </c>
      <c r="D296" s="32">
        <f t="shared" si="4"/>
        <v>2.436241611</v>
      </c>
      <c r="E296" s="31">
        <v>130.64</v>
      </c>
      <c r="F296" s="26">
        <v>1.0</v>
      </c>
    </row>
    <row r="297">
      <c r="A297" s="29" t="s">
        <v>350</v>
      </c>
      <c r="B297" s="30">
        <v>669.0</v>
      </c>
      <c r="C297" s="31">
        <v>440.0</v>
      </c>
      <c r="D297" s="32">
        <f t="shared" si="4"/>
        <v>1.520454545</v>
      </c>
      <c r="E297" s="31">
        <v>117.62</v>
      </c>
      <c r="F297" s="26">
        <v>1.0</v>
      </c>
    </row>
    <row r="298">
      <c r="A298" s="29" t="s">
        <v>351</v>
      </c>
      <c r="B298" s="30">
        <v>1075.0</v>
      </c>
      <c r="C298" s="31">
        <v>844.0</v>
      </c>
      <c r="D298" s="32">
        <f t="shared" si="4"/>
        <v>1.273696682</v>
      </c>
      <c r="E298" s="31">
        <v>209.2</v>
      </c>
      <c r="F298" s="26">
        <v>1.0</v>
      </c>
    </row>
    <row r="299">
      <c r="A299" s="29" t="s">
        <v>352</v>
      </c>
      <c r="B299" s="30">
        <v>968.0</v>
      </c>
      <c r="C299" s="31">
        <v>442.0</v>
      </c>
      <c r="D299" s="32">
        <f t="shared" si="4"/>
        <v>2.190045249</v>
      </c>
      <c r="E299" s="31">
        <v>159.12</v>
      </c>
      <c r="F299" s="26">
        <v>0.0</v>
      </c>
    </row>
    <row r="300">
      <c r="A300" s="29" t="s">
        <v>353</v>
      </c>
      <c r="B300" s="30">
        <v>536.0</v>
      </c>
      <c r="C300" s="31">
        <v>539.0</v>
      </c>
      <c r="D300" s="32">
        <f t="shared" si="4"/>
        <v>0.9944341373</v>
      </c>
      <c r="E300" s="31">
        <v>143.09</v>
      </c>
      <c r="F300" s="26">
        <v>2.0</v>
      </c>
    </row>
    <row r="301">
      <c r="A301" s="29" t="s">
        <v>354</v>
      </c>
      <c r="B301" s="30">
        <v>1039.0</v>
      </c>
      <c r="C301" s="31">
        <v>911.0</v>
      </c>
      <c r="D301" s="32">
        <f t="shared" si="4"/>
        <v>1.14050494</v>
      </c>
      <c r="E301" s="31">
        <v>210.74</v>
      </c>
      <c r="F301" s="26">
        <v>0.0</v>
      </c>
    </row>
    <row r="302">
      <c r="A302" s="29" t="s">
        <v>355</v>
      </c>
      <c r="B302" s="30">
        <v>1174.0</v>
      </c>
      <c r="C302" s="31">
        <v>665.0</v>
      </c>
      <c r="D302" s="32">
        <f t="shared" si="4"/>
        <v>1.765413534</v>
      </c>
      <c r="E302" s="31">
        <v>227.32999999999998</v>
      </c>
      <c r="F302" s="26">
        <v>0.0</v>
      </c>
    </row>
    <row r="303">
      <c r="A303" s="29" t="s">
        <v>356</v>
      </c>
      <c r="B303" s="30">
        <v>637.0</v>
      </c>
      <c r="C303" s="31">
        <v>353.0</v>
      </c>
      <c r="D303" s="32">
        <f t="shared" si="4"/>
        <v>1.804532578</v>
      </c>
      <c r="E303" s="31">
        <v>135.43</v>
      </c>
      <c r="F303" s="26">
        <v>1.0</v>
      </c>
    </row>
    <row r="304">
      <c r="A304" s="29" t="s">
        <v>357</v>
      </c>
      <c r="B304" s="30">
        <v>979.0</v>
      </c>
      <c r="C304" s="31">
        <v>414.0</v>
      </c>
      <c r="D304" s="32">
        <f t="shared" si="4"/>
        <v>2.3647343</v>
      </c>
      <c r="E304" s="31">
        <v>175.67000000000002</v>
      </c>
      <c r="F304" s="26">
        <v>0.0</v>
      </c>
    </row>
    <row r="305">
      <c r="A305" s="29" t="s">
        <v>358</v>
      </c>
      <c r="B305" s="30">
        <v>1760.0</v>
      </c>
      <c r="C305" s="31">
        <v>1055.0</v>
      </c>
      <c r="D305" s="32">
        <f t="shared" si="4"/>
        <v>1.668246445</v>
      </c>
      <c r="E305" s="31">
        <v>361.8</v>
      </c>
      <c r="F305" s="26">
        <v>1.0</v>
      </c>
    </row>
    <row r="306">
      <c r="A306" s="29" t="s">
        <v>359</v>
      </c>
      <c r="B306" s="30">
        <v>1030.0</v>
      </c>
      <c r="C306" s="31">
        <v>678.0</v>
      </c>
      <c r="D306" s="32">
        <f t="shared" si="4"/>
        <v>1.519174041</v>
      </c>
      <c r="E306" s="31">
        <v>220.39</v>
      </c>
      <c r="F306" s="26">
        <v>0.0</v>
      </c>
    </row>
    <row r="307">
      <c r="A307" s="29" t="s">
        <v>360</v>
      </c>
      <c r="B307" s="30">
        <v>471.0</v>
      </c>
      <c r="C307" s="31">
        <v>345.0</v>
      </c>
      <c r="D307" s="32">
        <f t="shared" si="4"/>
        <v>1.365217391</v>
      </c>
      <c r="E307" s="31">
        <v>98.72</v>
      </c>
      <c r="F307" s="26">
        <v>0.0</v>
      </c>
    </row>
    <row r="308">
      <c r="A308" s="29" t="s">
        <v>361</v>
      </c>
      <c r="B308" s="30">
        <v>503.0</v>
      </c>
      <c r="C308" s="31">
        <v>429.0</v>
      </c>
      <c r="D308" s="32">
        <f t="shared" si="4"/>
        <v>1.172494172</v>
      </c>
      <c r="E308" s="31">
        <v>126.59</v>
      </c>
      <c r="F308" s="26">
        <v>0.0</v>
      </c>
    </row>
    <row r="309">
      <c r="A309" s="29" t="s">
        <v>362</v>
      </c>
      <c r="B309" s="30">
        <v>708.0</v>
      </c>
      <c r="C309" s="31">
        <v>504.0</v>
      </c>
      <c r="D309" s="32">
        <f t="shared" si="4"/>
        <v>1.404761905</v>
      </c>
      <c r="E309" s="31">
        <v>148.12</v>
      </c>
      <c r="F309" s="26">
        <v>1.0</v>
      </c>
    </row>
    <row r="310">
      <c r="A310" s="29" t="s">
        <v>363</v>
      </c>
      <c r="B310" s="30">
        <v>496.0</v>
      </c>
      <c r="C310" s="31">
        <v>267.0</v>
      </c>
      <c r="D310" s="32">
        <f t="shared" si="4"/>
        <v>1.857677903</v>
      </c>
      <c r="E310" s="31">
        <v>97.99</v>
      </c>
      <c r="F310" s="26">
        <v>1.0</v>
      </c>
    </row>
    <row r="311">
      <c r="A311" s="29" t="s">
        <v>364</v>
      </c>
      <c r="B311" s="30">
        <v>491.0</v>
      </c>
      <c r="C311" s="31">
        <v>326.0</v>
      </c>
      <c r="D311" s="32">
        <f t="shared" si="4"/>
        <v>1.506134969</v>
      </c>
      <c r="E311" s="31">
        <v>105.91</v>
      </c>
      <c r="F311" s="26">
        <v>1.0</v>
      </c>
    </row>
    <row r="312">
      <c r="A312" s="29" t="s">
        <v>365</v>
      </c>
      <c r="B312" s="30">
        <v>1555.0</v>
      </c>
      <c r="C312" s="31">
        <v>746.0</v>
      </c>
      <c r="D312" s="32">
        <f t="shared" si="4"/>
        <v>2.084450402</v>
      </c>
      <c r="E312" s="31">
        <v>315.47</v>
      </c>
      <c r="F312" s="26">
        <v>3.0</v>
      </c>
    </row>
    <row r="313">
      <c r="A313" s="29" t="s">
        <v>366</v>
      </c>
      <c r="B313" s="30">
        <v>1586.0</v>
      </c>
      <c r="C313" s="31">
        <v>746.0</v>
      </c>
      <c r="D313" s="32">
        <f t="shared" si="4"/>
        <v>2.126005362</v>
      </c>
      <c r="E313" s="31">
        <v>314.56</v>
      </c>
      <c r="F313" s="26">
        <v>2.0</v>
      </c>
    </row>
    <row r="314">
      <c r="A314" s="29" t="s">
        <v>367</v>
      </c>
      <c r="B314" s="30">
        <v>1141.0</v>
      </c>
      <c r="C314" s="31">
        <v>746.0</v>
      </c>
      <c r="D314" s="32">
        <f t="shared" si="4"/>
        <v>1.529490617</v>
      </c>
      <c r="E314" s="31">
        <v>227.82</v>
      </c>
      <c r="F314" s="26">
        <v>1.0</v>
      </c>
    </row>
    <row r="315">
      <c r="A315" s="29" t="s">
        <v>368</v>
      </c>
      <c r="B315" s="30">
        <v>659.0</v>
      </c>
      <c r="C315" s="31">
        <v>403.0</v>
      </c>
      <c r="D315" s="32">
        <f t="shared" si="4"/>
        <v>1.635235732</v>
      </c>
      <c r="E315" s="31">
        <v>119.72999999999999</v>
      </c>
      <c r="F315" s="26">
        <v>1.0</v>
      </c>
    </row>
    <row r="316">
      <c r="A316" s="29" t="s">
        <v>369</v>
      </c>
      <c r="B316" s="30">
        <v>748.0</v>
      </c>
      <c r="C316" s="31">
        <v>696.0</v>
      </c>
      <c r="D316" s="32">
        <f t="shared" si="4"/>
        <v>1.074712644</v>
      </c>
      <c r="E316" s="31">
        <v>166.03</v>
      </c>
      <c r="F316" s="26">
        <v>0.0</v>
      </c>
    </row>
    <row r="317">
      <c r="A317" s="29" t="s">
        <v>370</v>
      </c>
      <c r="B317" s="30">
        <v>487.0</v>
      </c>
      <c r="C317" s="31">
        <v>303.0</v>
      </c>
      <c r="D317" s="32">
        <f t="shared" si="4"/>
        <v>1.607260726</v>
      </c>
      <c r="E317" s="31">
        <v>96.73</v>
      </c>
      <c r="F317" s="26">
        <v>2.0</v>
      </c>
    </row>
    <row r="318">
      <c r="A318" s="29" t="s">
        <v>371</v>
      </c>
      <c r="B318" s="30">
        <v>968.0</v>
      </c>
      <c r="C318" s="31">
        <v>714.0</v>
      </c>
      <c r="D318" s="32">
        <f t="shared" si="4"/>
        <v>1.355742297</v>
      </c>
      <c r="E318" s="31">
        <v>312.41999999999996</v>
      </c>
      <c r="F318" s="26">
        <v>0.0</v>
      </c>
    </row>
    <row r="319">
      <c r="A319" s="29" t="s">
        <v>372</v>
      </c>
      <c r="B319" s="30">
        <v>491.0</v>
      </c>
      <c r="C319" s="31">
        <v>489.0</v>
      </c>
      <c r="D319" s="32">
        <f t="shared" si="4"/>
        <v>1.00408998</v>
      </c>
      <c r="E319" s="31">
        <v>111.3</v>
      </c>
      <c r="F319" s="26">
        <v>0.0</v>
      </c>
    </row>
    <row r="320">
      <c r="A320" s="29" t="s">
        <v>373</v>
      </c>
      <c r="B320" s="30">
        <v>387.0</v>
      </c>
      <c r="C320" s="31">
        <v>516.0</v>
      </c>
      <c r="D320" s="32">
        <f t="shared" si="4"/>
        <v>0.75</v>
      </c>
      <c r="E320" s="31">
        <v>101.72999999999999</v>
      </c>
      <c r="F320" s="26">
        <v>2.0</v>
      </c>
    </row>
    <row r="321">
      <c r="A321" s="29" t="s">
        <v>374</v>
      </c>
      <c r="B321" s="30">
        <v>526.0</v>
      </c>
      <c r="C321" s="31">
        <v>396.0</v>
      </c>
      <c r="D321" s="32">
        <f t="shared" si="4"/>
        <v>1.328282828</v>
      </c>
      <c r="E321" s="31">
        <v>128.94</v>
      </c>
      <c r="F321" s="26">
        <v>0.0</v>
      </c>
    </row>
    <row r="322">
      <c r="A322" s="29" t="s">
        <v>375</v>
      </c>
      <c r="B322" s="30">
        <v>663.0</v>
      </c>
      <c r="C322" s="31">
        <v>460.0</v>
      </c>
      <c r="D322" s="32">
        <f t="shared" si="4"/>
        <v>1.441304348</v>
      </c>
      <c r="E322" s="31">
        <v>147.46</v>
      </c>
      <c r="F322" s="26">
        <v>1.0</v>
      </c>
    </row>
    <row r="323">
      <c r="A323" s="29" t="s">
        <v>376</v>
      </c>
      <c r="B323" s="30">
        <v>1407.0</v>
      </c>
      <c r="C323" s="31">
        <v>502.0</v>
      </c>
      <c r="D323" s="32">
        <f t="shared" si="4"/>
        <v>2.802788845</v>
      </c>
      <c r="E323" s="31">
        <v>265.53000000000003</v>
      </c>
      <c r="F323" s="26">
        <v>1.0</v>
      </c>
    </row>
    <row r="324">
      <c r="A324" s="29" t="s">
        <v>377</v>
      </c>
      <c r="B324" s="30">
        <v>1164.0</v>
      </c>
      <c r="C324" s="31">
        <v>768.0</v>
      </c>
      <c r="D324" s="32">
        <f t="shared" si="4"/>
        <v>1.515625</v>
      </c>
      <c r="E324" s="31">
        <v>293.23</v>
      </c>
      <c r="F324" s="26">
        <v>1.0</v>
      </c>
    </row>
    <row r="325">
      <c r="A325" s="29" t="s">
        <v>378</v>
      </c>
      <c r="B325" s="30">
        <v>946.0</v>
      </c>
      <c r="C325" s="31">
        <v>636.0</v>
      </c>
      <c r="D325" s="32">
        <f t="shared" si="4"/>
        <v>1.487421384</v>
      </c>
      <c r="E325" s="31">
        <v>237.3</v>
      </c>
      <c r="F325" s="26">
        <v>1.0</v>
      </c>
    </row>
    <row r="326">
      <c r="A326" s="29" t="s">
        <v>379</v>
      </c>
      <c r="B326" s="30">
        <v>983.0</v>
      </c>
      <c r="C326" s="31">
        <v>548.0</v>
      </c>
      <c r="D326" s="32">
        <f t="shared" si="4"/>
        <v>1.79379562</v>
      </c>
      <c r="E326" s="31">
        <v>212.3</v>
      </c>
      <c r="F326" s="26">
        <v>0.0</v>
      </c>
    </row>
    <row r="327">
      <c r="A327" s="29" t="s">
        <v>380</v>
      </c>
      <c r="B327" s="30">
        <v>550.0</v>
      </c>
      <c r="C327" s="31">
        <v>251.0</v>
      </c>
      <c r="D327" s="32">
        <f t="shared" si="4"/>
        <v>2.19123506</v>
      </c>
      <c r="E327" s="31">
        <v>107.14</v>
      </c>
      <c r="F327" s="26">
        <v>1.0</v>
      </c>
    </row>
    <row r="328">
      <c r="A328" s="29" t="s">
        <v>381</v>
      </c>
      <c r="B328" s="30">
        <v>521.0</v>
      </c>
      <c r="C328" s="31">
        <v>296.0</v>
      </c>
      <c r="D328" s="32">
        <f t="shared" si="4"/>
        <v>1.760135135</v>
      </c>
      <c r="E328" s="31">
        <v>110.97999999999999</v>
      </c>
      <c r="F328" s="26">
        <v>0.0</v>
      </c>
    </row>
    <row r="329">
      <c r="A329" s="29" t="s">
        <v>382</v>
      </c>
      <c r="B329" s="30">
        <v>758.0</v>
      </c>
      <c r="C329" s="31">
        <v>479.0</v>
      </c>
      <c r="D329" s="32">
        <f t="shared" si="4"/>
        <v>1.582463466</v>
      </c>
      <c r="E329" s="31">
        <v>154.41</v>
      </c>
      <c r="F329" s="26">
        <v>1.0</v>
      </c>
    </row>
    <row r="330">
      <c r="A330" s="29" t="s">
        <v>383</v>
      </c>
      <c r="B330" s="30">
        <v>4592.0</v>
      </c>
      <c r="C330" s="26">
        <v>3170.0</v>
      </c>
      <c r="D330" s="32">
        <f t="shared" si="4"/>
        <v>1.448580442</v>
      </c>
      <c r="F330" s="26">
        <v>1.0</v>
      </c>
    </row>
    <row r="331">
      <c r="A331" s="29" t="s">
        <v>384</v>
      </c>
      <c r="B331" s="30">
        <v>4646.0</v>
      </c>
      <c r="C331" s="31">
        <v>2605.0</v>
      </c>
      <c r="D331" s="32">
        <f t="shared" si="4"/>
        <v>1.783493282</v>
      </c>
      <c r="E331" s="33">
        <v>889.8299999999999</v>
      </c>
      <c r="F331" s="26">
        <v>3.0</v>
      </c>
    </row>
    <row r="332">
      <c r="A332" s="29" t="s">
        <v>385</v>
      </c>
      <c r="B332" s="30">
        <v>4295.0</v>
      </c>
      <c r="C332" s="31">
        <v>2860.0</v>
      </c>
      <c r="D332" s="32">
        <f t="shared" si="4"/>
        <v>1.501748252</v>
      </c>
      <c r="E332" s="33">
        <v>803.7</v>
      </c>
      <c r="F332" s="26">
        <v>0.0</v>
      </c>
    </row>
    <row r="333">
      <c r="A333" s="29" t="s">
        <v>386</v>
      </c>
      <c r="B333" s="30">
        <v>4078.0</v>
      </c>
      <c r="C333" s="31">
        <v>2111.0</v>
      </c>
      <c r="D333" s="32">
        <f t="shared" si="4"/>
        <v>1.931785883</v>
      </c>
      <c r="E333" s="33">
        <v>717.45</v>
      </c>
      <c r="F333" s="26">
        <v>2.0</v>
      </c>
    </row>
    <row r="334">
      <c r="A334" s="29" t="s">
        <v>387</v>
      </c>
      <c r="B334" s="30">
        <v>2786.0</v>
      </c>
      <c r="C334" s="31">
        <v>1921.0</v>
      </c>
      <c r="D334" s="32">
        <f t="shared" si="4"/>
        <v>1.450286309</v>
      </c>
      <c r="E334" s="33">
        <v>570.22</v>
      </c>
      <c r="F334" s="26">
        <v>0.0</v>
      </c>
    </row>
    <row r="335">
      <c r="A335" s="29" t="s">
        <v>388</v>
      </c>
      <c r="B335" s="30">
        <v>2253.0</v>
      </c>
      <c r="C335" s="31">
        <v>2194.0</v>
      </c>
      <c r="D335" s="32">
        <f t="shared" si="4"/>
        <v>1.026891522</v>
      </c>
      <c r="E335" s="33">
        <v>514.51</v>
      </c>
      <c r="F335" s="26">
        <v>0.0</v>
      </c>
    </row>
    <row r="336">
      <c r="A336" s="29" t="s">
        <v>389</v>
      </c>
      <c r="B336" s="30">
        <v>3826.0</v>
      </c>
      <c r="C336" s="31">
        <v>2546.0</v>
      </c>
      <c r="D336" s="32">
        <f t="shared" si="4"/>
        <v>1.502749411</v>
      </c>
      <c r="E336" s="33">
        <v>745.62</v>
      </c>
      <c r="F336" s="26">
        <v>0.0</v>
      </c>
    </row>
    <row r="337">
      <c r="A337" s="29" t="s">
        <v>390</v>
      </c>
      <c r="B337" s="30">
        <v>3840.0</v>
      </c>
      <c r="C337" s="31">
        <v>2657.0</v>
      </c>
      <c r="D337" s="32">
        <f t="shared" si="4"/>
        <v>1.445238991</v>
      </c>
      <c r="E337" s="31">
        <v>827.03</v>
      </c>
      <c r="F337" s="26">
        <v>1.0</v>
      </c>
    </row>
    <row r="338">
      <c r="A338" s="29" t="s">
        <v>391</v>
      </c>
      <c r="B338" s="30">
        <v>2173.0</v>
      </c>
      <c r="C338" s="31">
        <v>2371.0</v>
      </c>
      <c r="D338" s="32">
        <f t="shared" si="4"/>
        <v>0.9164909321</v>
      </c>
      <c r="E338" s="31">
        <v>506.02</v>
      </c>
      <c r="F338" s="26">
        <v>1.0</v>
      </c>
    </row>
    <row r="339">
      <c r="A339" s="29" t="s">
        <v>392</v>
      </c>
      <c r="B339" s="30">
        <v>2548.0</v>
      </c>
      <c r="C339" s="31">
        <v>1926.0</v>
      </c>
      <c r="D339" s="32">
        <f t="shared" si="4"/>
        <v>1.322949117</v>
      </c>
      <c r="E339" s="31">
        <v>571.41</v>
      </c>
      <c r="F339" s="26">
        <v>0.0</v>
      </c>
    </row>
    <row r="340">
      <c r="A340" s="29" t="s">
        <v>393</v>
      </c>
      <c r="B340" s="30">
        <v>2908.0</v>
      </c>
      <c r="C340" s="31">
        <v>2063.0</v>
      </c>
      <c r="D340" s="32">
        <f t="shared" si="4"/>
        <v>1.409597673</v>
      </c>
      <c r="E340" s="31">
        <v>663.87</v>
      </c>
      <c r="F340" s="26">
        <v>1.0</v>
      </c>
    </row>
    <row r="341">
      <c r="A341" s="29" t="s">
        <v>394</v>
      </c>
      <c r="B341" s="30">
        <v>3541.0</v>
      </c>
      <c r="C341" s="31">
        <v>1924.0</v>
      </c>
      <c r="D341" s="32">
        <f t="shared" si="4"/>
        <v>1.84043659</v>
      </c>
      <c r="E341" s="31">
        <v>763.72</v>
      </c>
      <c r="F341" s="26">
        <v>0.0</v>
      </c>
    </row>
    <row r="342">
      <c r="A342" s="29"/>
      <c r="B342" s="29"/>
      <c r="D342" s="32"/>
    </row>
    <row r="343">
      <c r="A343" s="29"/>
      <c r="B343" s="29"/>
      <c r="D343" s="32"/>
    </row>
    <row r="344">
      <c r="A344" s="29"/>
      <c r="B344" s="29"/>
      <c r="D344" s="32"/>
    </row>
    <row r="345">
      <c r="A345" s="29"/>
      <c r="B345" s="29"/>
      <c r="D345" s="32"/>
    </row>
    <row r="346">
      <c r="A346" s="29"/>
      <c r="B346" s="29"/>
      <c r="D346" s="32"/>
    </row>
    <row r="347">
      <c r="A347" s="29"/>
      <c r="B347" s="29"/>
      <c r="D347" s="32"/>
    </row>
    <row r="348">
      <c r="A348" s="29"/>
      <c r="B348" s="29"/>
      <c r="D348" s="32"/>
    </row>
    <row r="349">
      <c r="A349" s="29"/>
      <c r="B349" s="29"/>
      <c r="D349" s="32"/>
    </row>
    <row r="350">
      <c r="A350" s="29"/>
      <c r="B350" s="29"/>
      <c r="D350" s="32"/>
    </row>
    <row r="351">
      <c r="A351" s="29"/>
      <c r="B351" s="29"/>
      <c r="D351" s="32"/>
    </row>
    <row r="352">
      <c r="A352" s="29"/>
      <c r="B352" s="29"/>
      <c r="D352" s="32"/>
    </row>
    <row r="353">
      <c r="A353" s="29"/>
      <c r="B353" s="29"/>
      <c r="D353" s="32"/>
    </row>
    <row r="354">
      <c r="A354" s="29"/>
      <c r="B354" s="29"/>
      <c r="D354" s="32"/>
    </row>
    <row r="355">
      <c r="A355" s="29"/>
      <c r="B355" s="29"/>
      <c r="D355" s="32"/>
    </row>
    <row r="356">
      <c r="A356" s="29"/>
      <c r="B356" s="29"/>
      <c r="D356" s="32"/>
    </row>
    <row r="357">
      <c r="A357" s="29"/>
      <c r="B357" s="29"/>
      <c r="D357" s="32"/>
    </row>
    <row r="358">
      <c r="A358" s="29"/>
      <c r="B358" s="29"/>
      <c r="D358" s="32"/>
    </row>
    <row r="359">
      <c r="A359" s="29"/>
      <c r="B359" s="29"/>
      <c r="D359" s="32"/>
    </row>
    <row r="360">
      <c r="A360" s="29"/>
      <c r="B360" s="29"/>
      <c r="D360" s="32"/>
    </row>
    <row r="361">
      <c r="A361" s="29"/>
      <c r="B361" s="29"/>
      <c r="D361" s="32"/>
    </row>
    <row r="362">
      <c r="A362" s="29"/>
      <c r="B362" s="29"/>
      <c r="D362" s="32"/>
    </row>
    <row r="363">
      <c r="A363" s="29"/>
      <c r="B363" s="29"/>
      <c r="D363" s="32"/>
    </row>
    <row r="364">
      <c r="A364" s="29"/>
      <c r="B364" s="29"/>
      <c r="D364" s="32"/>
    </row>
    <row r="365">
      <c r="A365" s="29"/>
      <c r="B365" s="29"/>
      <c r="D365" s="32"/>
    </row>
    <row r="366">
      <c r="A366" s="29"/>
      <c r="B366" s="29"/>
      <c r="D366" s="32"/>
    </row>
    <row r="367">
      <c r="A367" s="29"/>
      <c r="B367" s="29"/>
      <c r="D367" s="32"/>
    </row>
    <row r="368">
      <c r="A368" s="29"/>
      <c r="B368" s="29"/>
      <c r="D368" s="32"/>
    </row>
    <row r="369">
      <c r="A369" s="29"/>
      <c r="B369" s="29"/>
      <c r="D369" s="32"/>
    </row>
    <row r="370">
      <c r="A370" s="29"/>
      <c r="B370" s="29"/>
      <c r="D370" s="32"/>
    </row>
    <row r="371">
      <c r="A371" s="29"/>
      <c r="B371" s="29"/>
      <c r="D371" s="32"/>
    </row>
    <row r="372">
      <c r="A372" s="29"/>
      <c r="B372" s="29"/>
      <c r="D372" s="32"/>
    </row>
    <row r="373">
      <c r="A373" s="29"/>
      <c r="B373" s="29"/>
      <c r="D373" s="32"/>
    </row>
    <row r="374">
      <c r="A374" s="29"/>
      <c r="B374" s="29"/>
      <c r="D374" s="32"/>
    </row>
    <row r="375">
      <c r="A375" s="29"/>
      <c r="B375" s="29"/>
      <c r="D375" s="32"/>
    </row>
    <row r="376">
      <c r="A376" s="29"/>
      <c r="B376" s="29"/>
      <c r="D376" s="32"/>
    </row>
    <row r="377">
      <c r="A377" s="29"/>
      <c r="B377" s="29"/>
      <c r="D377" s="32"/>
    </row>
    <row r="378">
      <c r="A378" s="29"/>
      <c r="B378" s="29"/>
      <c r="D378" s="32"/>
    </row>
    <row r="379">
      <c r="A379" s="29"/>
      <c r="B379" s="29"/>
      <c r="D379" s="32"/>
    </row>
    <row r="380">
      <c r="A380" s="29"/>
      <c r="B380" s="29"/>
      <c r="D380" s="32"/>
    </row>
    <row r="381">
      <c r="A381" s="29"/>
      <c r="B381" s="29"/>
      <c r="D381" s="32"/>
    </row>
    <row r="382">
      <c r="A382" s="29"/>
      <c r="B382" s="29"/>
      <c r="D382" s="32"/>
    </row>
    <row r="383">
      <c r="A383" s="29"/>
      <c r="B383" s="29"/>
      <c r="D383" s="32"/>
    </row>
    <row r="384">
      <c r="A384" s="29"/>
      <c r="B384" s="29"/>
      <c r="D384" s="32"/>
    </row>
    <row r="385">
      <c r="A385" s="29"/>
      <c r="B385" s="29"/>
      <c r="D385" s="32"/>
    </row>
    <row r="386">
      <c r="A386" s="29"/>
      <c r="B386" s="29"/>
      <c r="D386" s="32"/>
    </row>
    <row r="387">
      <c r="A387" s="29"/>
      <c r="B387" s="29"/>
      <c r="D387" s="32"/>
    </row>
    <row r="388">
      <c r="A388" s="29"/>
      <c r="B388" s="29"/>
      <c r="D388" s="32"/>
    </row>
    <row r="389">
      <c r="A389" s="29"/>
      <c r="B389" s="29"/>
      <c r="D389" s="32"/>
    </row>
    <row r="390">
      <c r="A390" s="29"/>
      <c r="B390" s="29"/>
      <c r="D390" s="32"/>
    </row>
    <row r="391">
      <c r="A391" s="29"/>
      <c r="B391" s="29"/>
      <c r="D391" s="32"/>
    </row>
    <row r="392">
      <c r="A392" s="29"/>
      <c r="B392" s="29"/>
      <c r="D392" s="32"/>
    </row>
    <row r="393">
      <c r="A393" s="29"/>
      <c r="B393" s="29"/>
      <c r="D393" s="32"/>
    </row>
    <row r="394">
      <c r="A394" s="29"/>
      <c r="B394" s="29"/>
      <c r="D394" s="32"/>
    </row>
    <row r="395">
      <c r="A395" s="29"/>
      <c r="B395" s="29"/>
      <c r="D395" s="32"/>
    </row>
    <row r="396">
      <c r="A396" s="29"/>
      <c r="B396" s="29"/>
      <c r="D396" s="32"/>
    </row>
    <row r="397">
      <c r="A397" s="29"/>
      <c r="B397" s="29"/>
      <c r="D397" s="32"/>
    </row>
    <row r="398">
      <c r="A398" s="29"/>
      <c r="B398" s="29"/>
      <c r="D398" s="32"/>
    </row>
    <row r="399">
      <c r="A399" s="29"/>
      <c r="B399" s="29"/>
      <c r="D399" s="32"/>
    </row>
    <row r="400">
      <c r="A400" s="29"/>
      <c r="B400" s="29"/>
      <c r="D400" s="32"/>
    </row>
    <row r="401">
      <c r="A401" s="29"/>
      <c r="B401" s="29"/>
      <c r="D401" s="32"/>
    </row>
    <row r="402">
      <c r="A402" s="29"/>
      <c r="B402" s="29"/>
      <c r="D402" s="32"/>
    </row>
    <row r="403">
      <c r="A403" s="29"/>
      <c r="B403" s="29"/>
      <c r="D403" s="32"/>
    </row>
    <row r="404">
      <c r="A404" s="29"/>
      <c r="B404" s="29"/>
      <c r="D404" s="32"/>
    </row>
    <row r="405">
      <c r="A405" s="29"/>
      <c r="B405" s="29"/>
      <c r="D405" s="32"/>
    </row>
    <row r="406">
      <c r="A406" s="29"/>
      <c r="B406" s="29"/>
      <c r="D406" s="32"/>
    </row>
    <row r="407">
      <c r="A407" s="29"/>
      <c r="B407" s="29"/>
      <c r="D407" s="32"/>
    </row>
    <row r="408">
      <c r="A408" s="29"/>
      <c r="B408" s="29"/>
      <c r="D408" s="32"/>
    </row>
    <row r="409">
      <c r="A409" s="29"/>
      <c r="B409" s="29"/>
      <c r="D409" s="32"/>
    </row>
    <row r="410">
      <c r="A410" s="29"/>
      <c r="B410" s="29"/>
      <c r="D410" s="32"/>
    </row>
    <row r="411">
      <c r="A411" s="29"/>
      <c r="B411" s="29"/>
      <c r="D411" s="32"/>
    </row>
    <row r="412">
      <c r="A412" s="29"/>
      <c r="B412" s="29"/>
      <c r="D412" s="32"/>
    </row>
    <row r="413">
      <c r="A413" s="29"/>
      <c r="B413" s="29"/>
      <c r="D413" s="32"/>
    </row>
    <row r="414">
      <c r="A414" s="29"/>
      <c r="B414" s="29"/>
      <c r="D414" s="32"/>
    </row>
    <row r="415">
      <c r="A415" s="29"/>
      <c r="B415" s="29"/>
      <c r="D415" s="32"/>
    </row>
    <row r="416">
      <c r="A416" s="29"/>
      <c r="B416" s="29"/>
      <c r="D416" s="32"/>
    </row>
    <row r="417">
      <c r="A417" s="29"/>
      <c r="B417" s="29"/>
      <c r="D417" s="32"/>
    </row>
    <row r="418">
      <c r="A418" s="29"/>
      <c r="B418" s="29"/>
      <c r="D418" s="32"/>
    </row>
    <row r="419">
      <c r="A419" s="29"/>
      <c r="B419" s="29"/>
      <c r="D419" s="32"/>
    </row>
    <row r="420">
      <c r="A420" s="29"/>
      <c r="B420" s="29"/>
      <c r="D420" s="32"/>
    </row>
    <row r="421">
      <c r="A421" s="29"/>
      <c r="B421" s="29"/>
      <c r="D421" s="32"/>
    </row>
    <row r="422">
      <c r="A422" s="29"/>
      <c r="B422" s="29"/>
      <c r="D422" s="32"/>
    </row>
    <row r="423">
      <c r="A423" s="29"/>
      <c r="B423" s="29"/>
      <c r="D423" s="32"/>
    </row>
    <row r="424">
      <c r="A424" s="29"/>
      <c r="B424" s="29"/>
      <c r="D424" s="32"/>
    </row>
    <row r="425">
      <c r="A425" s="29"/>
      <c r="B425" s="29"/>
      <c r="D425" s="32"/>
    </row>
    <row r="426">
      <c r="A426" s="29"/>
      <c r="B426" s="29"/>
      <c r="D426" s="32"/>
    </row>
    <row r="427">
      <c r="A427" s="29"/>
      <c r="B427" s="29"/>
      <c r="D427" s="32"/>
    </row>
    <row r="428">
      <c r="A428" s="29"/>
      <c r="B428" s="29"/>
      <c r="D428" s="32"/>
    </row>
    <row r="429">
      <c r="A429" s="29"/>
      <c r="B429" s="29"/>
      <c r="D429" s="32"/>
    </row>
    <row r="430">
      <c r="A430" s="29"/>
      <c r="B430" s="29"/>
      <c r="D430" s="32"/>
    </row>
    <row r="431">
      <c r="A431" s="29"/>
      <c r="B431" s="29"/>
      <c r="D431" s="32"/>
    </row>
    <row r="432">
      <c r="A432" s="29"/>
      <c r="B432" s="29"/>
      <c r="D432" s="32"/>
    </row>
    <row r="433">
      <c r="A433" s="29"/>
      <c r="B433" s="29"/>
      <c r="D433" s="32"/>
    </row>
    <row r="434">
      <c r="A434" s="29"/>
      <c r="B434" s="29"/>
      <c r="D434" s="32"/>
    </row>
    <row r="435">
      <c r="A435" s="29"/>
      <c r="B435" s="29"/>
      <c r="D435" s="32"/>
    </row>
    <row r="436">
      <c r="A436" s="29"/>
      <c r="B436" s="29"/>
      <c r="D436" s="32"/>
    </row>
    <row r="437">
      <c r="A437" s="29"/>
      <c r="B437" s="29"/>
      <c r="D437" s="32"/>
    </row>
    <row r="438">
      <c r="A438" s="29"/>
      <c r="B438" s="29"/>
      <c r="D438" s="32"/>
    </row>
    <row r="439">
      <c r="A439" s="29"/>
      <c r="B439" s="29"/>
      <c r="D439" s="32"/>
    </row>
    <row r="440">
      <c r="A440" s="29"/>
      <c r="B440" s="29"/>
      <c r="D440" s="32"/>
    </row>
    <row r="441">
      <c r="A441" s="29"/>
      <c r="B441" s="29"/>
      <c r="D441" s="32"/>
    </row>
    <row r="442">
      <c r="A442" s="29"/>
      <c r="B442" s="29"/>
      <c r="D442" s="32"/>
    </row>
    <row r="443">
      <c r="A443" s="29"/>
      <c r="B443" s="29"/>
      <c r="D443" s="32"/>
    </row>
    <row r="444">
      <c r="A444" s="29"/>
      <c r="B444" s="29"/>
      <c r="D444" s="32"/>
    </row>
    <row r="445">
      <c r="A445" s="29"/>
      <c r="B445" s="29"/>
      <c r="D445" s="32"/>
    </row>
    <row r="446">
      <c r="A446" s="29"/>
      <c r="B446" s="29"/>
      <c r="D446" s="32"/>
    </row>
    <row r="447">
      <c r="A447" s="29"/>
      <c r="B447" s="29"/>
      <c r="D447" s="32"/>
    </row>
    <row r="448">
      <c r="A448" s="29"/>
      <c r="B448" s="29"/>
      <c r="D448" s="32"/>
    </row>
    <row r="449">
      <c r="A449" s="29"/>
      <c r="B449" s="29"/>
      <c r="D449" s="32"/>
    </row>
    <row r="450">
      <c r="A450" s="29"/>
      <c r="B450" s="29"/>
      <c r="D450" s="32"/>
    </row>
    <row r="451">
      <c r="A451" s="29"/>
      <c r="B451" s="29"/>
      <c r="D451" s="32"/>
    </row>
    <row r="452">
      <c r="A452" s="29"/>
      <c r="B452" s="29"/>
      <c r="D452" s="32"/>
    </row>
    <row r="453">
      <c r="A453" s="29"/>
      <c r="B453" s="29"/>
      <c r="D453" s="32"/>
    </row>
    <row r="454">
      <c r="A454" s="29"/>
      <c r="B454" s="29"/>
      <c r="D454" s="32"/>
    </row>
    <row r="455">
      <c r="A455" s="29"/>
      <c r="B455" s="29"/>
      <c r="D455" s="32"/>
    </row>
    <row r="456">
      <c r="A456" s="29"/>
      <c r="B456" s="29"/>
      <c r="D456" s="32"/>
    </row>
    <row r="457">
      <c r="A457" s="29"/>
      <c r="B457" s="29"/>
      <c r="D457" s="32"/>
    </row>
    <row r="458">
      <c r="A458" s="29"/>
      <c r="B458" s="29"/>
      <c r="D458" s="32"/>
    </row>
    <row r="459">
      <c r="A459" s="29"/>
      <c r="B459" s="29"/>
      <c r="D459" s="32"/>
    </row>
    <row r="460">
      <c r="A460" s="29"/>
      <c r="B460" s="29"/>
      <c r="D460" s="32"/>
    </row>
    <row r="461">
      <c r="A461" s="29"/>
      <c r="B461" s="29"/>
      <c r="D461" s="32"/>
    </row>
    <row r="462">
      <c r="A462" s="29"/>
      <c r="B462" s="29"/>
      <c r="D462" s="32"/>
    </row>
    <row r="463">
      <c r="A463" s="29"/>
      <c r="B463" s="29"/>
      <c r="D463" s="32"/>
    </row>
    <row r="464">
      <c r="A464" s="29"/>
      <c r="B464" s="29"/>
      <c r="D464" s="32"/>
    </row>
    <row r="465">
      <c r="A465" s="29"/>
      <c r="B465" s="29"/>
      <c r="D465" s="32"/>
    </row>
    <row r="466">
      <c r="A466" s="29"/>
      <c r="B466" s="29"/>
      <c r="D466" s="32"/>
    </row>
    <row r="467">
      <c r="A467" s="29"/>
      <c r="B467" s="29"/>
      <c r="D467" s="32"/>
    </row>
    <row r="468">
      <c r="A468" s="29"/>
      <c r="B468" s="29"/>
      <c r="D468" s="32"/>
    </row>
    <row r="469">
      <c r="A469" s="29"/>
      <c r="B469" s="29"/>
      <c r="D469" s="32"/>
    </row>
    <row r="470">
      <c r="A470" s="29"/>
      <c r="B470" s="29"/>
      <c r="D470" s="32"/>
    </row>
    <row r="471">
      <c r="A471" s="29"/>
      <c r="B471" s="29"/>
      <c r="D471" s="32"/>
    </row>
    <row r="472">
      <c r="A472" s="29"/>
      <c r="B472" s="29"/>
      <c r="D472" s="32"/>
    </row>
    <row r="473">
      <c r="A473" s="29"/>
      <c r="B473" s="29"/>
      <c r="D473" s="32"/>
    </row>
    <row r="474">
      <c r="A474" s="29"/>
      <c r="B474" s="29"/>
      <c r="D474" s="32"/>
    </row>
    <row r="475">
      <c r="A475" s="29"/>
      <c r="B475" s="29"/>
      <c r="D475" s="32"/>
    </row>
    <row r="476">
      <c r="A476" s="29"/>
      <c r="B476" s="29"/>
      <c r="D476" s="32"/>
    </row>
    <row r="477">
      <c r="A477" s="29"/>
      <c r="B477" s="29"/>
      <c r="D477" s="32"/>
    </row>
    <row r="478">
      <c r="A478" s="29"/>
      <c r="B478" s="29"/>
      <c r="D478" s="32"/>
    </row>
    <row r="479">
      <c r="A479" s="29"/>
      <c r="B479" s="29"/>
      <c r="D479" s="32"/>
    </row>
    <row r="480">
      <c r="A480" s="29"/>
      <c r="B480" s="29"/>
      <c r="D480" s="32"/>
    </row>
    <row r="481">
      <c r="A481" s="29"/>
      <c r="B481" s="29"/>
      <c r="D481" s="32"/>
    </row>
    <row r="482">
      <c r="A482" s="29"/>
      <c r="B482" s="29"/>
      <c r="D482" s="32"/>
    </row>
    <row r="483">
      <c r="A483" s="29"/>
      <c r="B483" s="29"/>
      <c r="D483" s="32"/>
    </row>
    <row r="484">
      <c r="A484" s="29"/>
      <c r="B484" s="29"/>
      <c r="D484" s="32"/>
    </row>
    <row r="485">
      <c r="A485" s="29"/>
      <c r="B485" s="29"/>
      <c r="D485" s="32"/>
    </row>
    <row r="486">
      <c r="A486" s="29"/>
      <c r="B486" s="29"/>
      <c r="D486" s="32"/>
    </row>
    <row r="487">
      <c r="A487" s="29"/>
      <c r="B487" s="29"/>
      <c r="D487" s="32"/>
    </row>
    <row r="488">
      <c r="A488" s="29"/>
      <c r="B488" s="29"/>
      <c r="D488" s="32"/>
    </row>
    <row r="489">
      <c r="A489" s="29"/>
      <c r="B489" s="29"/>
      <c r="D489" s="32"/>
    </row>
    <row r="490">
      <c r="A490" s="29"/>
      <c r="B490" s="29"/>
      <c r="D490" s="32"/>
    </row>
    <row r="491">
      <c r="A491" s="29"/>
      <c r="B491" s="29"/>
      <c r="D491" s="32"/>
    </row>
    <row r="492">
      <c r="A492" s="29"/>
      <c r="B492" s="29"/>
      <c r="D492" s="32"/>
    </row>
    <row r="493">
      <c r="A493" s="29"/>
      <c r="B493" s="29"/>
      <c r="D493" s="32"/>
    </row>
    <row r="494">
      <c r="A494" s="29"/>
      <c r="B494" s="29"/>
      <c r="D494" s="32"/>
    </row>
    <row r="495">
      <c r="A495" s="29"/>
      <c r="B495" s="29"/>
      <c r="D495" s="32"/>
    </row>
    <row r="496">
      <c r="A496" s="29"/>
      <c r="B496" s="29"/>
      <c r="D496" s="32"/>
    </row>
    <row r="497">
      <c r="A497" s="29"/>
      <c r="B497" s="29"/>
      <c r="D497" s="32"/>
    </row>
    <row r="498">
      <c r="A498" s="29"/>
      <c r="B498" s="29"/>
      <c r="D498" s="32"/>
    </row>
    <row r="499">
      <c r="A499" s="29"/>
      <c r="B499" s="29"/>
      <c r="D499" s="32"/>
    </row>
    <row r="500">
      <c r="A500" s="29"/>
      <c r="B500" s="29"/>
      <c r="D500" s="32"/>
    </row>
    <row r="501">
      <c r="A501" s="29"/>
      <c r="B501" s="29"/>
      <c r="D501" s="32"/>
    </row>
    <row r="502">
      <c r="A502" s="29"/>
      <c r="B502" s="29"/>
      <c r="D502" s="32"/>
    </row>
    <row r="503">
      <c r="A503" s="29"/>
      <c r="B503" s="29"/>
      <c r="D503" s="32"/>
    </row>
    <row r="504">
      <c r="A504" s="29"/>
      <c r="B504" s="29"/>
      <c r="D504" s="32"/>
    </row>
    <row r="505">
      <c r="A505" s="29"/>
      <c r="B505" s="29"/>
      <c r="D505" s="32"/>
    </row>
    <row r="506">
      <c r="A506" s="29"/>
      <c r="B506" s="29"/>
      <c r="D506" s="32"/>
    </row>
    <row r="507">
      <c r="A507" s="29"/>
      <c r="B507" s="29"/>
      <c r="D507" s="32"/>
    </row>
    <row r="508">
      <c r="A508" s="29"/>
      <c r="B508" s="29"/>
      <c r="D508" s="32"/>
    </row>
    <row r="509">
      <c r="A509" s="29"/>
      <c r="B509" s="29"/>
      <c r="D509" s="32"/>
    </row>
    <row r="510">
      <c r="A510" s="29"/>
      <c r="B510" s="29"/>
      <c r="D510" s="32"/>
    </row>
    <row r="511">
      <c r="A511" s="29"/>
      <c r="B511" s="29"/>
      <c r="D511" s="32"/>
    </row>
    <row r="512">
      <c r="A512" s="29"/>
      <c r="B512" s="29"/>
      <c r="D512" s="32"/>
    </row>
    <row r="513">
      <c r="A513" s="29"/>
      <c r="B513" s="29"/>
      <c r="D513" s="32"/>
    </row>
    <row r="514">
      <c r="A514" s="29"/>
      <c r="B514" s="29"/>
      <c r="D514" s="32"/>
    </row>
    <row r="515">
      <c r="A515" s="29"/>
      <c r="B515" s="29"/>
      <c r="D515" s="32"/>
    </row>
    <row r="516">
      <c r="A516" s="29"/>
      <c r="B516" s="29"/>
      <c r="D516" s="32"/>
    </row>
    <row r="517">
      <c r="A517" s="29"/>
      <c r="B517" s="29"/>
      <c r="D517" s="32"/>
    </row>
    <row r="518">
      <c r="A518" s="29"/>
      <c r="B518" s="29"/>
      <c r="D518" s="32"/>
    </row>
    <row r="519">
      <c r="A519" s="29"/>
      <c r="B519" s="29"/>
      <c r="D519" s="32"/>
    </row>
    <row r="520">
      <c r="A520" s="29"/>
      <c r="B520" s="29"/>
      <c r="D520" s="32"/>
    </row>
    <row r="521">
      <c r="A521" s="29"/>
      <c r="B521" s="29"/>
      <c r="D521" s="32"/>
    </row>
    <row r="522">
      <c r="A522" s="29"/>
      <c r="B522" s="29"/>
      <c r="D522" s="32"/>
    </row>
    <row r="523">
      <c r="A523" s="29"/>
      <c r="B523" s="29"/>
      <c r="D523" s="32"/>
    </row>
    <row r="524">
      <c r="A524" s="29"/>
      <c r="B524" s="29"/>
      <c r="D524" s="32"/>
    </row>
    <row r="525">
      <c r="A525" s="29"/>
      <c r="B525" s="29"/>
      <c r="D525" s="32"/>
    </row>
    <row r="526">
      <c r="A526" s="29"/>
      <c r="B526" s="29"/>
      <c r="D526" s="32"/>
    </row>
    <row r="527">
      <c r="A527" s="29"/>
      <c r="B527" s="29"/>
      <c r="D527" s="32"/>
    </row>
    <row r="528">
      <c r="A528" s="29"/>
      <c r="B528" s="29"/>
      <c r="D528" s="32"/>
    </row>
    <row r="529">
      <c r="A529" s="29"/>
      <c r="B529" s="29"/>
      <c r="D529" s="32"/>
    </row>
    <row r="530">
      <c r="A530" s="29"/>
      <c r="B530" s="29"/>
      <c r="D530" s="32"/>
    </row>
    <row r="531">
      <c r="A531" s="29"/>
      <c r="B531" s="29"/>
      <c r="D531" s="32"/>
    </row>
    <row r="532">
      <c r="A532" s="29"/>
      <c r="B532" s="29"/>
      <c r="D532" s="32"/>
    </row>
    <row r="533">
      <c r="A533" s="29"/>
      <c r="B533" s="29"/>
      <c r="D533" s="32"/>
    </row>
    <row r="534">
      <c r="A534" s="29"/>
      <c r="B534" s="29"/>
      <c r="D534" s="32"/>
    </row>
    <row r="535">
      <c r="A535" s="29"/>
      <c r="B535" s="29"/>
      <c r="D535" s="32"/>
    </row>
    <row r="536">
      <c r="A536" s="29"/>
      <c r="B536" s="29"/>
      <c r="D536" s="32"/>
    </row>
    <row r="537">
      <c r="A537" s="29"/>
      <c r="B537" s="29"/>
      <c r="D537" s="32"/>
    </row>
    <row r="538">
      <c r="A538" s="29"/>
      <c r="B538" s="29"/>
      <c r="D538" s="32"/>
    </row>
    <row r="539">
      <c r="A539" s="29"/>
      <c r="B539" s="29"/>
      <c r="D539" s="32"/>
    </row>
    <row r="540">
      <c r="A540" s="29"/>
      <c r="B540" s="29"/>
      <c r="D540" s="32"/>
    </row>
    <row r="541">
      <c r="A541" s="29"/>
      <c r="B541" s="29"/>
      <c r="D541" s="32"/>
    </row>
    <row r="542">
      <c r="A542" s="29"/>
      <c r="B542" s="29"/>
      <c r="D542" s="32"/>
    </row>
    <row r="543">
      <c r="A543" s="29"/>
      <c r="B543" s="29"/>
      <c r="D543" s="32"/>
    </row>
    <row r="544">
      <c r="A544" s="29"/>
      <c r="B544" s="29"/>
      <c r="D544" s="32"/>
    </row>
    <row r="545">
      <c r="A545" s="29"/>
      <c r="B545" s="29"/>
      <c r="D545" s="32"/>
    </row>
    <row r="546">
      <c r="A546" s="29"/>
      <c r="B546" s="29"/>
      <c r="D546" s="32"/>
    </row>
    <row r="547">
      <c r="A547" s="29"/>
      <c r="B547" s="29"/>
      <c r="D547" s="32"/>
    </row>
    <row r="548">
      <c r="A548" s="29"/>
      <c r="B548" s="29"/>
      <c r="D548" s="32"/>
    </row>
    <row r="549">
      <c r="A549" s="29"/>
      <c r="B549" s="29"/>
      <c r="D549" s="32"/>
    </row>
    <row r="550">
      <c r="A550" s="29"/>
      <c r="B550" s="29"/>
      <c r="D550" s="32"/>
    </row>
    <row r="551">
      <c r="A551" s="29"/>
      <c r="B551" s="29"/>
      <c r="D551" s="32"/>
    </row>
    <row r="552">
      <c r="A552" s="29"/>
      <c r="B552" s="29"/>
      <c r="D552" s="32"/>
    </row>
    <row r="553">
      <c r="A553" s="29"/>
      <c r="B553" s="29"/>
      <c r="D553" s="32"/>
    </row>
    <row r="554">
      <c r="A554" s="29"/>
      <c r="B554" s="29"/>
      <c r="D554" s="32"/>
    </row>
    <row r="555">
      <c r="A555" s="29"/>
      <c r="B555" s="29"/>
      <c r="D555" s="32"/>
    </row>
    <row r="556">
      <c r="A556" s="29"/>
      <c r="B556" s="29"/>
      <c r="D556" s="32"/>
    </row>
    <row r="557">
      <c r="A557" s="29"/>
      <c r="B557" s="29"/>
      <c r="D557" s="32"/>
    </row>
    <row r="558">
      <c r="A558" s="29"/>
      <c r="B558" s="29"/>
      <c r="D558" s="32"/>
    </row>
    <row r="559">
      <c r="A559" s="29"/>
      <c r="B559" s="29"/>
      <c r="D559" s="32"/>
    </row>
    <row r="560">
      <c r="A560" s="29"/>
      <c r="B560" s="29"/>
      <c r="D560" s="32"/>
    </row>
    <row r="561">
      <c r="A561" s="29"/>
      <c r="B561" s="29"/>
      <c r="D561" s="32"/>
    </row>
    <row r="562">
      <c r="A562" s="29"/>
      <c r="B562" s="29"/>
      <c r="D562" s="32"/>
    </row>
    <row r="563">
      <c r="A563" s="29"/>
      <c r="B563" s="29"/>
      <c r="D563" s="32"/>
    </row>
    <row r="564">
      <c r="A564" s="29"/>
      <c r="B564" s="29"/>
      <c r="D564" s="32"/>
    </row>
    <row r="565">
      <c r="A565" s="29"/>
      <c r="B565" s="29"/>
      <c r="D565" s="32"/>
    </row>
    <row r="566">
      <c r="A566" s="29"/>
      <c r="B566" s="29"/>
      <c r="D566" s="32"/>
    </row>
    <row r="567">
      <c r="A567" s="29"/>
      <c r="B567" s="29"/>
      <c r="D567" s="32"/>
    </row>
    <row r="568">
      <c r="A568" s="29"/>
      <c r="B568" s="29"/>
      <c r="D568" s="32"/>
    </row>
    <row r="569">
      <c r="A569" s="29"/>
      <c r="B569" s="29"/>
      <c r="D569" s="32"/>
    </row>
    <row r="570">
      <c r="A570" s="29"/>
      <c r="B570" s="29"/>
      <c r="D570" s="32"/>
    </row>
    <row r="571">
      <c r="A571" s="29"/>
      <c r="B571" s="29"/>
      <c r="D571" s="32"/>
    </row>
    <row r="572">
      <c r="A572" s="29"/>
      <c r="B572" s="29"/>
      <c r="D572" s="32"/>
    </row>
    <row r="573">
      <c r="A573" s="29"/>
      <c r="B573" s="29"/>
      <c r="D573" s="32"/>
    </row>
    <row r="574">
      <c r="A574" s="29"/>
      <c r="B574" s="29"/>
      <c r="D574" s="32"/>
    </row>
    <row r="575">
      <c r="A575" s="29"/>
      <c r="B575" s="29"/>
      <c r="D575" s="32"/>
    </row>
    <row r="576">
      <c r="A576" s="29"/>
      <c r="B576" s="29"/>
      <c r="D576" s="32"/>
    </row>
    <row r="577">
      <c r="A577" s="29"/>
      <c r="B577" s="29"/>
      <c r="D577" s="32"/>
    </row>
    <row r="578">
      <c r="A578" s="29"/>
      <c r="B578" s="29"/>
      <c r="D578" s="32"/>
    </row>
    <row r="579">
      <c r="A579" s="29"/>
      <c r="B579" s="29"/>
      <c r="D579" s="32"/>
    </row>
    <row r="580">
      <c r="A580" s="29"/>
      <c r="B580" s="29"/>
      <c r="D580" s="32"/>
    </row>
    <row r="581">
      <c r="A581" s="29"/>
      <c r="B581" s="29"/>
      <c r="D581" s="32"/>
    </row>
    <row r="582">
      <c r="A582" s="29"/>
      <c r="B582" s="29"/>
      <c r="D582" s="32"/>
    </row>
    <row r="583">
      <c r="A583" s="29"/>
      <c r="B583" s="29"/>
      <c r="D583" s="32"/>
    </row>
    <row r="584">
      <c r="A584" s="29"/>
      <c r="B584" s="29"/>
      <c r="D584" s="32"/>
    </row>
    <row r="585">
      <c r="A585" s="29"/>
      <c r="B585" s="29"/>
      <c r="D585" s="32"/>
    </row>
    <row r="586">
      <c r="A586" s="29"/>
      <c r="B586" s="29"/>
      <c r="D586" s="32"/>
    </row>
    <row r="587">
      <c r="A587" s="29"/>
      <c r="B587" s="29"/>
      <c r="D587" s="32"/>
    </row>
    <row r="588">
      <c r="A588" s="29"/>
      <c r="B588" s="29"/>
      <c r="D588" s="32"/>
    </row>
    <row r="589">
      <c r="A589" s="29"/>
      <c r="B589" s="29"/>
      <c r="D589" s="32"/>
    </row>
    <row r="590">
      <c r="A590" s="29"/>
      <c r="B590" s="29"/>
      <c r="D590" s="32"/>
    </row>
    <row r="591">
      <c r="A591" s="29"/>
      <c r="B591" s="29"/>
      <c r="D591" s="32"/>
    </row>
    <row r="592">
      <c r="A592" s="29"/>
      <c r="B592" s="29"/>
      <c r="D592" s="32"/>
    </row>
    <row r="593">
      <c r="A593" s="29"/>
      <c r="B593" s="29"/>
      <c r="D593" s="32"/>
    </row>
    <row r="594">
      <c r="A594" s="29"/>
      <c r="B594" s="29"/>
      <c r="D594" s="32"/>
    </row>
    <row r="595">
      <c r="A595" s="29"/>
      <c r="B595" s="29"/>
      <c r="D595" s="32"/>
    </row>
    <row r="596">
      <c r="A596" s="29"/>
      <c r="B596" s="29"/>
      <c r="D596" s="32"/>
    </row>
    <row r="597">
      <c r="A597" s="29"/>
      <c r="B597" s="29"/>
      <c r="D597" s="32"/>
    </row>
    <row r="598">
      <c r="A598" s="29"/>
      <c r="B598" s="29"/>
      <c r="D598" s="32"/>
    </row>
    <row r="599">
      <c r="A599" s="29"/>
      <c r="B599" s="29"/>
      <c r="D599" s="32"/>
    </row>
    <row r="600">
      <c r="A600" s="29"/>
      <c r="B600" s="29"/>
      <c r="D600" s="32"/>
    </row>
    <row r="601">
      <c r="A601" s="29"/>
      <c r="B601" s="29"/>
      <c r="D601" s="32"/>
    </row>
    <row r="602">
      <c r="A602" s="29"/>
      <c r="B602" s="29"/>
      <c r="D602" s="32"/>
    </row>
    <row r="603">
      <c r="A603" s="29"/>
      <c r="B603" s="29"/>
      <c r="D603" s="32"/>
    </row>
    <row r="604">
      <c r="A604" s="29"/>
      <c r="B604" s="29"/>
      <c r="D604" s="32"/>
    </row>
    <row r="605">
      <c r="A605" s="29"/>
      <c r="B605" s="29"/>
      <c r="D605" s="32"/>
    </row>
    <row r="606">
      <c r="A606" s="29"/>
      <c r="B606" s="29"/>
      <c r="D606" s="32"/>
    </row>
    <row r="607">
      <c r="A607" s="29"/>
      <c r="B607" s="29"/>
      <c r="D607" s="32"/>
    </row>
    <row r="608">
      <c r="A608" s="29"/>
      <c r="B608" s="29"/>
      <c r="D608" s="32"/>
    </row>
    <row r="609">
      <c r="A609" s="29"/>
      <c r="B609" s="29"/>
      <c r="D609" s="32"/>
    </row>
    <row r="610">
      <c r="A610" s="29"/>
      <c r="B610" s="29"/>
      <c r="D610" s="32"/>
    </row>
    <row r="611">
      <c r="A611" s="29"/>
      <c r="B611" s="29"/>
      <c r="D611" s="32"/>
    </row>
    <row r="612">
      <c r="A612" s="29"/>
      <c r="B612" s="29"/>
      <c r="D612" s="32"/>
    </row>
    <row r="613">
      <c r="A613" s="29"/>
      <c r="B613" s="29"/>
      <c r="D613" s="32"/>
    </row>
    <row r="614">
      <c r="A614" s="29"/>
      <c r="B614" s="29"/>
      <c r="D614" s="32"/>
    </row>
    <row r="615">
      <c r="A615" s="29"/>
      <c r="B615" s="29"/>
      <c r="D615" s="32"/>
    </row>
    <row r="616">
      <c r="A616" s="29"/>
      <c r="B616" s="29"/>
      <c r="D616" s="32"/>
    </row>
    <row r="617">
      <c r="A617" s="29"/>
      <c r="B617" s="29"/>
      <c r="D617" s="32"/>
    </row>
    <row r="618">
      <c r="A618" s="29"/>
      <c r="B618" s="29"/>
      <c r="D618" s="32"/>
    </row>
    <row r="619">
      <c r="A619" s="29"/>
      <c r="B619" s="29"/>
      <c r="D619" s="32"/>
    </row>
    <row r="620">
      <c r="A620" s="29"/>
      <c r="B620" s="29"/>
      <c r="D620" s="32"/>
    </row>
    <row r="621">
      <c r="A621" s="29"/>
      <c r="B621" s="29"/>
      <c r="D621" s="32"/>
    </row>
    <row r="622">
      <c r="A622" s="29"/>
      <c r="B622" s="29"/>
      <c r="D622" s="32"/>
    </row>
    <row r="623">
      <c r="A623" s="29"/>
      <c r="B623" s="29"/>
      <c r="D623" s="32"/>
    </row>
    <row r="624">
      <c r="A624" s="29"/>
      <c r="B624" s="29"/>
      <c r="D624" s="32"/>
    </row>
    <row r="625">
      <c r="A625" s="29"/>
      <c r="B625" s="29"/>
      <c r="D625" s="32"/>
    </row>
    <row r="626">
      <c r="A626" s="29"/>
      <c r="B626" s="29"/>
      <c r="D626" s="32"/>
    </row>
    <row r="627">
      <c r="A627" s="29"/>
      <c r="B627" s="29"/>
      <c r="D627" s="32"/>
    </row>
    <row r="628">
      <c r="A628" s="29"/>
      <c r="B628" s="29"/>
      <c r="D628" s="32"/>
    </row>
    <row r="629">
      <c r="A629" s="29"/>
      <c r="B629" s="29"/>
      <c r="D629" s="32"/>
    </row>
    <row r="630">
      <c r="A630" s="29"/>
      <c r="B630" s="29"/>
      <c r="D630" s="32"/>
    </row>
    <row r="631">
      <c r="A631" s="29"/>
      <c r="B631" s="29"/>
      <c r="D631" s="32"/>
    </row>
    <row r="632">
      <c r="A632" s="29"/>
      <c r="B632" s="29"/>
      <c r="D632" s="32"/>
    </row>
    <row r="633">
      <c r="A633" s="29"/>
      <c r="B633" s="29"/>
      <c r="D633" s="32"/>
    </row>
    <row r="634">
      <c r="A634" s="29"/>
      <c r="B634" s="29"/>
      <c r="D634" s="32"/>
    </row>
    <row r="635">
      <c r="A635" s="29"/>
      <c r="B635" s="29"/>
      <c r="D635" s="32"/>
    </row>
    <row r="636">
      <c r="A636" s="29"/>
      <c r="B636" s="29"/>
      <c r="D636" s="32"/>
    </row>
    <row r="637">
      <c r="A637" s="29"/>
      <c r="B637" s="29"/>
      <c r="D637" s="32"/>
    </row>
    <row r="638">
      <c r="A638" s="29"/>
      <c r="B638" s="29"/>
      <c r="D638" s="32"/>
    </row>
    <row r="639">
      <c r="A639" s="29"/>
      <c r="B639" s="29"/>
      <c r="D639" s="32"/>
    </row>
    <row r="640">
      <c r="A640" s="29"/>
      <c r="B640" s="29"/>
      <c r="D640" s="32"/>
    </row>
    <row r="641">
      <c r="A641" s="29"/>
      <c r="B641" s="29"/>
      <c r="D641" s="32"/>
    </row>
    <row r="642">
      <c r="A642" s="29"/>
      <c r="B642" s="29"/>
      <c r="D642" s="32"/>
    </row>
    <row r="643">
      <c r="A643" s="29"/>
      <c r="B643" s="29"/>
      <c r="D643" s="32"/>
    </row>
    <row r="644">
      <c r="A644" s="29"/>
      <c r="B644" s="29"/>
      <c r="D644" s="32"/>
    </row>
    <row r="645">
      <c r="A645" s="29"/>
      <c r="B645" s="29"/>
      <c r="D645" s="32"/>
    </row>
    <row r="646">
      <c r="A646" s="29"/>
      <c r="B646" s="29"/>
      <c r="D646" s="32"/>
    </row>
    <row r="647">
      <c r="A647" s="29"/>
      <c r="B647" s="29"/>
      <c r="D647" s="32"/>
    </row>
    <row r="648">
      <c r="A648" s="29"/>
      <c r="B648" s="29"/>
      <c r="D648" s="32"/>
    </row>
    <row r="649">
      <c r="A649" s="29"/>
      <c r="B649" s="29"/>
      <c r="D649" s="32"/>
    </row>
    <row r="650">
      <c r="A650" s="29"/>
      <c r="B650" s="29"/>
      <c r="D650" s="32"/>
    </row>
    <row r="651">
      <c r="A651" s="29"/>
      <c r="B651" s="29"/>
      <c r="D651" s="32"/>
    </row>
    <row r="652">
      <c r="A652" s="29"/>
      <c r="B652" s="29"/>
      <c r="D652" s="32"/>
    </row>
    <row r="653">
      <c r="A653" s="29"/>
      <c r="B653" s="29"/>
      <c r="D653" s="32"/>
    </row>
    <row r="654">
      <c r="A654" s="29"/>
      <c r="B654" s="29"/>
      <c r="D654" s="32"/>
    </row>
    <row r="655">
      <c r="A655" s="29"/>
      <c r="B655" s="29"/>
      <c r="D655" s="32"/>
    </row>
    <row r="656">
      <c r="A656" s="29"/>
      <c r="B656" s="29"/>
      <c r="D656" s="32"/>
    </row>
    <row r="657">
      <c r="A657" s="29"/>
      <c r="B657" s="29"/>
      <c r="D657" s="32"/>
    </row>
    <row r="658">
      <c r="A658" s="29"/>
      <c r="B658" s="29"/>
      <c r="D658" s="32"/>
    </row>
    <row r="659">
      <c r="A659" s="29"/>
      <c r="B659" s="29"/>
      <c r="D659" s="32"/>
    </row>
    <row r="660">
      <c r="A660" s="29"/>
      <c r="B660" s="29"/>
      <c r="D660" s="32"/>
    </row>
    <row r="661">
      <c r="A661" s="29"/>
      <c r="B661" s="29"/>
      <c r="D661" s="32"/>
    </row>
    <row r="662">
      <c r="A662" s="29"/>
      <c r="B662" s="29"/>
      <c r="D662" s="32"/>
    </row>
    <row r="663">
      <c r="A663" s="29"/>
      <c r="B663" s="29"/>
      <c r="D663" s="32"/>
    </row>
    <row r="664">
      <c r="A664" s="29"/>
      <c r="B664" s="29"/>
      <c r="D664" s="32"/>
    </row>
    <row r="665">
      <c r="A665" s="29"/>
      <c r="B665" s="29"/>
      <c r="D665" s="32"/>
    </row>
    <row r="666">
      <c r="A666" s="29"/>
      <c r="B666" s="29"/>
      <c r="D666" s="32"/>
    </row>
    <row r="667">
      <c r="A667" s="29"/>
      <c r="B667" s="29"/>
      <c r="D667" s="32"/>
    </row>
    <row r="668">
      <c r="A668" s="29"/>
      <c r="B668" s="29"/>
      <c r="D668" s="32"/>
    </row>
    <row r="669">
      <c r="A669" s="29"/>
      <c r="B669" s="29"/>
      <c r="D669" s="32"/>
    </row>
    <row r="670">
      <c r="A670" s="29"/>
      <c r="B670" s="29"/>
      <c r="D670" s="32"/>
    </row>
    <row r="671">
      <c r="A671" s="29"/>
      <c r="B671" s="29"/>
      <c r="D671" s="32"/>
    </row>
    <row r="672">
      <c r="A672" s="29"/>
      <c r="B672" s="29"/>
      <c r="D672" s="32"/>
    </row>
    <row r="673">
      <c r="A673" s="29"/>
      <c r="B673" s="29"/>
      <c r="D673" s="32"/>
    </row>
    <row r="674">
      <c r="A674" s="29"/>
      <c r="B674" s="29"/>
      <c r="D674" s="32"/>
    </row>
    <row r="675">
      <c r="A675" s="29"/>
      <c r="B675" s="29"/>
      <c r="D675" s="32"/>
    </row>
    <row r="676">
      <c r="A676" s="29"/>
      <c r="B676" s="29"/>
      <c r="D676" s="32"/>
    </row>
    <row r="677">
      <c r="A677" s="29"/>
      <c r="B677" s="29"/>
      <c r="D677" s="32"/>
    </row>
    <row r="678">
      <c r="A678" s="29"/>
      <c r="B678" s="29"/>
      <c r="D678" s="32"/>
    </row>
    <row r="679">
      <c r="A679" s="29"/>
      <c r="B679" s="29"/>
      <c r="D679" s="32"/>
    </row>
    <row r="680">
      <c r="A680" s="29"/>
      <c r="B680" s="29"/>
      <c r="D680" s="32"/>
    </row>
    <row r="681">
      <c r="A681" s="29"/>
      <c r="B681" s="29"/>
      <c r="D681" s="32"/>
    </row>
    <row r="682">
      <c r="A682" s="29"/>
      <c r="B682" s="29"/>
      <c r="D682" s="32"/>
    </row>
    <row r="683">
      <c r="A683" s="29"/>
      <c r="B683" s="29"/>
      <c r="D683" s="32"/>
    </row>
    <row r="684">
      <c r="A684" s="29"/>
      <c r="B684" s="29"/>
      <c r="D684" s="32"/>
    </row>
    <row r="685">
      <c r="A685" s="29"/>
      <c r="B685" s="29"/>
      <c r="D685" s="32"/>
    </row>
    <row r="686">
      <c r="A686" s="29"/>
      <c r="B686" s="29"/>
      <c r="D686" s="32"/>
    </row>
    <row r="687">
      <c r="A687" s="29"/>
      <c r="B687" s="29"/>
      <c r="D687" s="32"/>
    </row>
    <row r="688">
      <c r="A688" s="29"/>
      <c r="B688" s="29"/>
      <c r="D688" s="32"/>
    </row>
    <row r="689">
      <c r="A689" s="29"/>
      <c r="B689" s="29"/>
      <c r="D689" s="32"/>
    </row>
    <row r="690">
      <c r="A690" s="29"/>
      <c r="B690" s="29"/>
      <c r="D690" s="32"/>
    </row>
    <row r="691">
      <c r="A691" s="29"/>
      <c r="B691" s="29"/>
      <c r="D691" s="32"/>
    </row>
    <row r="692">
      <c r="A692" s="29"/>
      <c r="B692" s="29"/>
      <c r="D692" s="32"/>
    </row>
    <row r="693">
      <c r="A693" s="29"/>
      <c r="B693" s="29"/>
      <c r="D693" s="32"/>
    </row>
    <row r="694">
      <c r="A694" s="29"/>
      <c r="B694" s="29"/>
      <c r="D694" s="32"/>
    </row>
    <row r="695">
      <c r="A695" s="29"/>
      <c r="B695" s="29"/>
      <c r="D695" s="32"/>
    </row>
    <row r="696">
      <c r="A696" s="29"/>
      <c r="B696" s="29"/>
      <c r="D696" s="32"/>
    </row>
    <row r="697">
      <c r="A697" s="29"/>
      <c r="B697" s="29"/>
      <c r="D697" s="32"/>
    </row>
    <row r="698">
      <c r="A698" s="29"/>
      <c r="B698" s="29"/>
      <c r="D698" s="32"/>
    </row>
    <row r="699">
      <c r="A699" s="29"/>
      <c r="B699" s="29"/>
      <c r="D699" s="32"/>
    </row>
    <row r="700">
      <c r="A700" s="29"/>
      <c r="B700" s="29"/>
      <c r="D700" s="32"/>
    </row>
    <row r="701">
      <c r="A701" s="29"/>
      <c r="B701" s="29"/>
      <c r="D701" s="32"/>
    </row>
    <row r="702">
      <c r="A702" s="29"/>
      <c r="B702" s="29"/>
      <c r="D702" s="32"/>
    </row>
    <row r="703">
      <c r="A703" s="29"/>
      <c r="B703" s="29"/>
      <c r="D703" s="32"/>
    </row>
    <row r="704">
      <c r="A704" s="29"/>
      <c r="B704" s="29"/>
      <c r="D704" s="32"/>
    </row>
    <row r="705">
      <c r="A705" s="29"/>
      <c r="B705" s="29"/>
      <c r="D705" s="32"/>
    </row>
    <row r="706">
      <c r="A706" s="29"/>
      <c r="B706" s="29"/>
      <c r="D706" s="32"/>
    </row>
    <row r="707">
      <c r="A707" s="29"/>
      <c r="B707" s="29"/>
      <c r="D707" s="32"/>
    </row>
    <row r="708">
      <c r="A708" s="29"/>
      <c r="B708" s="29"/>
      <c r="D708" s="32"/>
    </row>
    <row r="709">
      <c r="A709" s="29"/>
      <c r="B709" s="29"/>
      <c r="D709" s="32"/>
    </row>
    <row r="710">
      <c r="A710" s="29"/>
      <c r="B710" s="29"/>
      <c r="D710" s="32"/>
    </row>
    <row r="711">
      <c r="A711" s="29"/>
      <c r="B711" s="29"/>
      <c r="D711" s="32"/>
    </row>
    <row r="712">
      <c r="A712" s="29"/>
      <c r="B712" s="29"/>
      <c r="D712" s="32"/>
    </row>
    <row r="713">
      <c r="A713" s="29"/>
      <c r="B713" s="29"/>
      <c r="D713" s="32"/>
    </row>
    <row r="714">
      <c r="A714" s="29"/>
      <c r="B714" s="29"/>
      <c r="D714" s="32"/>
    </row>
    <row r="715">
      <c r="A715" s="29"/>
      <c r="B715" s="29"/>
      <c r="D715" s="32"/>
    </row>
    <row r="716">
      <c r="A716" s="29"/>
      <c r="B716" s="29"/>
      <c r="D716" s="32"/>
    </row>
    <row r="717">
      <c r="A717" s="29"/>
      <c r="B717" s="29"/>
      <c r="D717" s="32"/>
    </row>
    <row r="718">
      <c r="A718" s="29"/>
      <c r="B718" s="29"/>
      <c r="D718" s="32"/>
    </row>
    <row r="719">
      <c r="A719" s="29"/>
      <c r="B719" s="29"/>
      <c r="D719" s="32"/>
    </row>
    <row r="720">
      <c r="A720" s="29"/>
      <c r="B720" s="29"/>
      <c r="D720" s="32"/>
    </row>
    <row r="721">
      <c r="A721" s="29"/>
      <c r="B721" s="29"/>
      <c r="D721" s="32"/>
    </row>
    <row r="722">
      <c r="A722" s="29"/>
      <c r="B722" s="29"/>
      <c r="D722" s="32"/>
    </row>
    <row r="723">
      <c r="A723" s="29"/>
      <c r="B723" s="29"/>
      <c r="D723" s="32"/>
    </row>
    <row r="724">
      <c r="A724" s="29"/>
      <c r="B724" s="29"/>
      <c r="D724" s="32"/>
    </row>
    <row r="725">
      <c r="A725" s="29"/>
      <c r="B725" s="29"/>
      <c r="D725" s="32"/>
    </row>
    <row r="726">
      <c r="A726" s="29"/>
      <c r="B726" s="29"/>
      <c r="D726" s="32"/>
    </row>
    <row r="727">
      <c r="A727" s="29"/>
      <c r="B727" s="29"/>
      <c r="D727" s="32"/>
    </row>
    <row r="728">
      <c r="A728" s="29"/>
      <c r="B728" s="29"/>
      <c r="D728" s="32"/>
    </row>
    <row r="729">
      <c r="A729" s="29"/>
      <c r="B729" s="29"/>
      <c r="D729" s="32"/>
    </row>
    <row r="730">
      <c r="A730" s="29"/>
      <c r="B730" s="29"/>
      <c r="D730" s="32"/>
    </row>
    <row r="731">
      <c r="A731" s="29"/>
      <c r="B731" s="29"/>
      <c r="D731" s="32"/>
    </row>
    <row r="732">
      <c r="A732" s="29"/>
      <c r="B732" s="29"/>
      <c r="D732" s="32"/>
    </row>
    <row r="733">
      <c r="A733" s="29"/>
      <c r="B733" s="29"/>
      <c r="D733" s="32"/>
    </row>
    <row r="734">
      <c r="A734" s="29"/>
      <c r="B734" s="29"/>
      <c r="D734" s="32"/>
    </row>
    <row r="735">
      <c r="A735" s="29"/>
      <c r="B735" s="29"/>
      <c r="D735" s="32"/>
    </row>
    <row r="736">
      <c r="A736" s="29"/>
      <c r="B736" s="29"/>
      <c r="D736" s="32"/>
    </row>
    <row r="737">
      <c r="A737" s="29"/>
      <c r="B737" s="29"/>
      <c r="D737" s="32"/>
    </row>
    <row r="738">
      <c r="A738" s="29"/>
      <c r="B738" s="29"/>
      <c r="D738" s="32"/>
    </row>
    <row r="739">
      <c r="A739" s="29"/>
      <c r="B739" s="29"/>
      <c r="D739" s="32"/>
    </row>
    <row r="740">
      <c r="A740" s="29"/>
      <c r="B740" s="29"/>
      <c r="D740" s="32"/>
    </row>
    <row r="741">
      <c r="A741" s="29"/>
      <c r="B741" s="29"/>
      <c r="D741" s="32"/>
    </row>
    <row r="742">
      <c r="A742" s="29"/>
      <c r="B742" s="29"/>
      <c r="D742" s="32"/>
    </row>
    <row r="743">
      <c r="A743" s="29"/>
      <c r="B743" s="29"/>
      <c r="D743" s="32"/>
    </row>
    <row r="744">
      <c r="A744" s="29"/>
      <c r="B744" s="29"/>
      <c r="D744" s="32"/>
    </row>
    <row r="745">
      <c r="A745" s="29"/>
      <c r="B745" s="29"/>
      <c r="D745" s="32"/>
    </row>
    <row r="746">
      <c r="A746" s="29"/>
      <c r="B746" s="29"/>
      <c r="D746" s="32"/>
    </row>
    <row r="747">
      <c r="A747" s="29"/>
      <c r="B747" s="29"/>
      <c r="D747" s="32"/>
    </row>
    <row r="748">
      <c r="A748" s="29"/>
      <c r="B748" s="29"/>
      <c r="D748" s="32"/>
    </row>
    <row r="749">
      <c r="A749" s="29"/>
      <c r="B749" s="29"/>
      <c r="D749" s="32"/>
    </row>
    <row r="750">
      <c r="A750" s="29"/>
      <c r="B750" s="29"/>
      <c r="D750" s="32"/>
    </row>
    <row r="751">
      <c r="A751" s="29"/>
      <c r="B751" s="29"/>
      <c r="D751" s="32"/>
    </row>
    <row r="752">
      <c r="A752" s="29"/>
      <c r="B752" s="29"/>
      <c r="D752" s="32"/>
    </row>
    <row r="753">
      <c r="A753" s="29"/>
      <c r="B753" s="29"/>
      <c r="D753" s="32"/>
    </row>
    <row r="754">
      <c r="A754" s="29"/>
      <c r="B754" s="29"/>
      <c r="D754" s="32"/>
    </row>
    <row r="755">
      <c r="A755" s="29"/>
      <c r="B755" s="29"/>
      <c r="D755" s="32"/>
    </row>
    <row r="756">
      <c r="A756" s="29"/>
      <c r="B756" s="29"/>
      <c r="D756" s="32"/>
    </row>
    <row r="757">
      <c r="A757" s="29"/>
      <c r="B757" s="29"/>
      <c r="D757" s="32"/>
    </row>
    <row r="758">
      <c r="A758" s="29"/>
      <c r="B758" s="29"/>
      <c r="D758" s="32"/>
    </row>
    <row r="759">
      <c r="A759" s="29"/>
      <c r="B759" s="29"/>
      <c r="D759" s="32"/>
    </row>
    <row r="760">
      <c r="A760" s="29"/>
      <c r="B760" s="29"/>
      <c r="D760" s="32"/>
    </row>
    <row r="761">
      <c r="A761" s="29"/>
      <c r="B761" s="29"/>
      <c r="D761" s="32"/>
    </row>
    <row r="762">
      <c r="A762" s="29"/>
      <c r="B762" s="29"/>
      <c r="D762" s="32"/>
    </row>
    <row r="763">
      <c r="A763" s="29"/>
      <c r="B763" s="29"/>
      <c r="D763" s="32"/>
    </row>
    <row r="764">
      <c r="A764" s="29"/>
      <c r="B764" s="29"/>
      <c r="D764" s="32"/>
    </row>
    <row r="765">
      <c r="A765" s="29"/>
      <c r="B765" s="29"/>
      <c r="D765" s="32"/>
    </row>
    <row r="766">
      <c r="A766" s="29"/>
      <c r="B766" s="29"/>
      <c r="D766" s="32"/>
    </row>
    <row r="767">
      <c r="A767" s="29"/>
      <c r="B767" s="29"/>
      <c r="D767" s="32"/>
    </row>
    <row r="768">
      <c r="A768" s="29"/>
      <c r="B768" s="29"/>
      <c r="D768" s="32"/>
    </row>
    <row r="769">
      <c r="A769" s="29"/>
      <c r="B769" s="29"/>
      <c r="D769" s="32"/>
    </row>
    <row r="770">
      <c r="A770" s="29"/>
      <c r="B770" s="29"/>
      <c r="D770" s="32"/>
    </row>
    <row r="771">
      <c r="A771" s="29"/>
      <c r="B771" s="29"/>
      <c r="D771" s="32"/>
    </row>
    <row r="772">
      <c r="A772" s="29"/>
      <c r="B772" s="29"/>
      <c r="D772" s="32"/>
    </row>
    <row r="773">
      <c r="A773" s="29"/>
      <c r="B773" s="29"/>
      <c r="D773" s="32"/>
    </row>
    <row r="774">
      <c r="A774" s="29"/>
      <c r="B774" s="29"/>
      <c r="D774" s="32"/>
    </row>
    <row r="775">
      <c r="A775" s="29"/>
      <c r="B775" s="29"/>
      <c r="D775" s="32"/>
    </row>
    <row r="776">
      <c r="A776" s="29"/>
      <c r="B776" s="29"/>
      <c r="D776" s="32"/>
    </row>
    <row r="777">
      <c r="A777" s="29"/>
      <c r="B777" s="29"/>
      <c r="D777" s="32"/>
    </row>
    <row r="778">
      <c r="A778" s="29"/>
      <c r="B778" s="29"/>
      <c r="D778" s="32"/>
    </row>
    <row r="779">
      <c r="A779" s="29"/>
      <c r="B779" s="29"/>
      <c r="D779" s="32"/>
    </row>
    <row r="780">
      <c r="A780" s="29"/>
      <c r="B780" s="29"/>
      <c r="D780" s="32"/>
    </row>
    <row r="781">
      <c r="A781" s="29"/>
      <c r="B781" s="29"/>
      <c r="D781" s="32"/>
    </row>
    <row r="782">
      <c r="A782" s="29"/>
      <c r="B782" s="29"/>
      <c r="D782" s="32"/>
    </row>
    <row r="783">
      <c r="A783" s="29"/>
      <c r="B783" s="29"/>
      <c r="D783" s="32"/>
    </row>
    <row r="784">
      <c r="A784" s="29"/>
      <c r="B784" s="29"/>
      <c r="D784" s="32"/>
    </row>
    <row r="785">
      <c r="A785" s="29"/>
      <c r="B785" s="29"/>
      <c r="D785" s="32"/>
    </row>
    <row r="786">
      <c r="A786" s="29"/>
      <c r="B786" s="29"/>
      <c r="D786" s="32"/>
    </row>
    <row r="787">
      <c r="A787" s="29"/>
      <c r="B787" s="29"/>
      <c r="D787" s="32"/>
    </row>
    <row r="788">
      <c r="A788" s="29"/>
      <c r="B788" s="29"/>
      <c r="D788" s="32"/>
    </row>
    <row r="789">
      <c r="A789" s="29"/>
      <c r="B789" s="29"/>
      <c r="D789" s="32"/>
    </row>
    <row r="790">
      <c r="A790" s="29"/>
      <c r="B790" s="29"/>
      <c r="D790" s="32"/>
    </row>
    <row r="791">
      <c r="A791" s="29"/>
      <c r="B791" s="29"/>
      <c r="D791" s="32"/>
    </row>
    <row r="792">
      <c r="A792" s="29"/>
      <c r="B792" s="29"/>
      <c r="D792" s="32"/>
    </row>
    <row r="793">
      <c r="A793" s="29"/>
      <c r="B793" s="29"/>
      <c r="D793" s="32"/>
    </row>
    <row r="794">
      <c r="A794" s="29"/>
      <c r="B794" s="29"/>
      <c r="D794" s="32"/>
    </row>
    <row r="795">
      <c r="A795" s="29"/>
      <c r="B795" s="29"/>
      <c r="D795" s="32"/>
    </row>
    <row r="796">
      <c r="A796" s="29"/>
      <c r="B796" s="29"/>
      <c r="D796" s="32"/>
    </row>
    <row r="797">
      <c r="A797" s="29"/>
      <c r="B797" s="29"/>
      <c r="D797" s="32"/>
    </row>
    <row r="798">
      <c r="A798" s="29"/>
      <c r="B798" s="29"/>
      <c r="D798" s="32"/>
    </row>
    <row r="799">
      <c r="A799" s="29"/>
      <c r="B799" s="29"/>
      <c r="D799" s="32"/>
    </row>
    <row r="800">
      <c r="A800" s="29"/>
      <c r="B800" s="29"/>
      <c r="D800" s="32"/>
    </row>
    <row r="801">
      <c r="A801" s="29"/>
      <c r="B801" s="29"/>
      <c r="D801" s="32"/>
    </row>
    <row r="802">
      <c r="A802" s="29"/>
      <c r="B802" s="29"/>
      <c r="D802" s="32"/>
    </row>
    <row r="803">
      <c r="A803" s="29"/>
      <c r="B803" s="29"/>
      <c r="D803" s="32"/>
    </row>
    <row r="804">
      <c r="A804" s="29"/>
      <c r="B804" s="29"/>
      <c r="D804" s="32"/>
    </row>
    <row r="805">
      <c r="A805" s="29"/>
      <c r="B805" s="29"/>
      <c r="D805" s="32"/>
    </row>
    <row r="806">
      <c r="A806" s="29"/>
      <c r="B806" s="29"/>
      <c r="D806" s="32"/>
    </row>
    <row r="807">
      <c r="A807" s="29"/>
      <c r="B807" s="29"/>
      <c r="D807" s="32"/>
    </row>
    <row r="808">
      <c r="A808" s="29"/>
      <c r="B808" s="29"/>
      <c r="D808" s="32"/>
    </row>
    <row r="809">
      <c r="A809" s="29"/>
      <c r="B809" s="29"/>
      <c r="D809" s="32"/>
    </row>
    <row r="810">
      <c r="A810" s="29"/>
      <c r="B810" s="29"/>
      <c r="D810" s="32"/>
    </row>
    <row r="811">
      <c r="A811" s="29"/>
      <c r="B811" s="29"/>
      <c r="D811" s="32"/>
    </row>
    <row r="812">
      <c r="A812" s="29"/>
      <c r="B812" s="29"/>
      <c r="D812" s="32"/>
    </row>
    <row r="813">
      <c r="A813" s="29"/>
      <c r="B813" s="29"/>
      <c r="D813" s="32"/>
    </row>
    <row r="814">
      <c r="A814" s="29"/>
      <c r="B814" s="29"/>
      <c r="D814" s="32"/>
    </row>
    <row r="815">
      <c r="A815" s="29"/>
      <c r="B815" s="29"/>
      <c r="D815" s="32"/>
    </row>
    <row r="816">
      <c r="A816" s="29"/>
      <c r="B816" s="29"/>
      <c r="D816" s="32"/>
    </row>
    <row r="817">
      <c r="A817" s="29"/>
      <c r="B817" s="29"/>
      <c r="D817" s="32"/>
    </row>
    <row r="818">
      <c r="A818" s="29"/>
      <c r="B818" s="29"/>
      <c r="D818" s="32"/>
    </row>
    <row r="819">
      <c r="A819" s="29"/>
      <c r="B819" s="29"/>
      <c r="D819" s="32"/>
    </row>
    <row r="820">
      <c r="A820" s="29"/>
      <c r="B820" s="29"/>
      <c r="D820" s="32"/>
    </row>
    <row r="821">
      <c r="A821" s="29"/>
      <c r="B821" s="29"/>
      <c r="D821" s="32"/>
    </row>
    <row r="822">
      <c r="A822" s="29"/>
      <c r="B822" s="29"/>
      <c r="D822" s="32"/>
    </row>
    <row r="823">
      <c r="A823" s="29"/>
      <c r="B823" s="29"/>
      <c r="D823" s="32"/>
    </row>
    <row r="824">
      <c r="A824" s="29"/>
      <c r="B824" s="29"/>
      <c r="D824" s="32"/>
    </row>
    <row r="825">
      <c r="A825" s="29"/>
      <c r="B825" s="29"/>
      <c r="D825" s="32"/>
    </row>
    <row r="826">
      <c r="A826" s="29"/>
      <c r="B826" s="29"/>
      <c r="D826" s="32"/>
    </row>
    <row r="827">
      <c r="A827" s="29"/>
      <c r="B827" s="29"/>
      <c r="D827" s="32"/>
    </row>
    <row r="828">
      <c r="A828" s="29"/>
      <c r="B828" s="29"/>
      <c r="D828" s="32"/>
    </row>
    <row r="829">
      <c r="A829" s="29"/>
      <c r="B829" s="29"/>
      <c r="D829" s="32"/>
    </row>
    <row r="830">
      <c r="A830" s="29"/>
      <c r="B830" s="29"/>
      <c r="D830" s="32"/>
    </row>
    <row r="831">
      <c r="A831" s="29"/>
      <c r="B831" s="29"/>
      <c r="D831" s="32"/>
    </row>
    <row r="832">
      <c r="A832" s="29"/>
      <c r="B832" s="29"/>
      <c r="D832" s="32"/>
    </row>
    <row r="833">
      <c r="A833" s="29"/>
      <c r="B833" s="29"/>
      <c r="D833" s="32"/>
    </row>
    <row r="834">
      <c r="A834" s="29"/>
      <c r="B834" s="29"/>
      <c r="D834" s="32"/>
    </row>
    <row r="835">
      <c r="A835" s="29"/>
      <c r="B835" s="29"/>
      <c r="D835" s="32"/>
    </row>
    <row r="836">
      <c r="A836" s="29"/>
      <c r="B836" s="29"/>
      <c r="D836" s="32"/>
    </row>
    <row r="837">
      <c r="A837" s="29"/>
      <c r="B837" s="29"/>
      <c r="D837" s="32"/>
    </row>
    <row r="838">
      <c r="A838" s="29"/>
      <c r="B838" s="29"/>
      <c r="D838" s="32"/>
    </row>
    <row r="839">
      <c r="A839" s="29"/>
      <c r="B839" s="29"/>
      <c r="D839" s="32"/>
    </row>
    <row r="840">
      <c r="A840" s="29"/>
      <c r="B840" s="29"/>
      <c r="D840" s="32"/>
    </row>
    <row r="841">
      <c r="A841" s="29"/>
      <c r="B841" s="29"/>
      <c r="D841" s="32"/>
    </row>
    <row r="842">
      <c r="A842" s="29"/>
      <c r="B842" s="29"/>
      <c r="D842" s="32"/>
    </row>
    <row r="843">
      <c r="A843" s="29"/>
      <c r="B843" s="29"/>
      <c r="D843" s="32"/>
    </row>
    <row r="844">
      <c r="A844" s="29"/>
      <c r="B844" s="29"/>
      <c r="D844" s="32"/>
    </row>
    <row r="845">
      <c r="A845" s="29"/>
      <c r="B845" s="29"/>
      <c r="D845" s="32"/>
    </row>
    <row r="846">
      <c r="A846" s="29"/>
      <c r="B846" s="29"/>
      <c r="D846" s="32"/>
    </row>
    <row r="847">
      <c r="A847" s="29"/>
      <c r="B847" s="29"/>
      <c r="D847" s="32"/>
    </row>
    <row r="848">
      <c r="A848" s="29"/>
      <c r="B848" s="29"/>
      <c r="D848" s="32"/>
    </row>
    <row r="849">
      <c r="A849" s="29"/>
      <c r="B849" s="29"/>
      <c r="D849" s="32"/>
    </row>
    <row r="850">
      <c r="A850" s="29"/>
      <c r="B850" s="29"/>
      <c r="D850" s="32"/>
    </row>
    <row r="851">
      <c r="A851" s="29"/>
      <c r="B851" s="29"/>
      <c r="D851" s="32"/>
    </row>
    <row r="852">
      <c r="A852" s="29"/>
      <c r="B852" s="29"/>
      <c r="D852" s="32"/>
    </row>
    <row r="853">
      <c r="A853" s="29"/>
      <c r="B853" s="29"/>
      <c r="D853" s="32"/>
    </row>
    <row r="854">
      <c r="A854" s="29"/>
      <c r="B854" s="29"/>
      <c r="D854" s="32"/>
    </row>
    <row r="855">
      <c r="A855" s="29"/>
      <c r="B855" s="29"/>
      <c r="D855" s="32"/>
    </row>
    <row r="856">
      <c r="A856" s="29"/>
      <c r="B856" s="29"/>
      <c r="D856" s="32"/>
    </row>
    <row r="857">
      <c r="A857" s="29"/>
      <c r="B857" s="29"/>
      <c r="D857" s="32"/>
    </row>
    <row r="858">
      <c r="A858" s="29"/>
      <c r="B858" s="29"/>
      <c r="D858" s="32"/>
    </row>
    <row r="859">
      <c r="A859" s="29"/>
      <c r="B859" s="29"/>
      <c r="D859" s="32"/>
    </row>
    <row r="860">
      <c r="A860" s="29"/>
      <c r="B860" s="29"/>
      <c r="D860" s="32"/>
    </row>
    <row r="861">
      <c r="A861" s="29"/>
      <c r="B861" s="29"/>
      <c r="D861" s="32"/>
    </row>
    <row r="862">
      <c r="A862" s="29"/>
      <c r="B862" s="29"/>
      <c r="D862" s="32"/>
    </row>
    <row r="863">
      <c r="A863" s="29"/>
      <c r="B863" s="29"/>
      <c r="D863" s="32"/>
    </row>
    <row r="864">
      <c r="A864" s="29"/>
      <c r="B864" s="29"/>
      <c r="D864" s="32"/>
    </row>
    <row r="865">
      <c r="A865" s="29"/>
      <c r="B865" s="29"/>
      <c r="D865" s="32"/>
    </row>
    <row r="866">
      <c r="A866" s="29"/>
      <c r="B866" s="29"/>
      <c r="D866" s="32"/>
    </row>
    <row r="867">
      <c r="A867" s="29"/>
      <c r="B867" s="29"/>
      <c r="D867" s="32"/>
    </row>
    <row r="868">
      <c r="A868" s="29"/>
      <c r="B868" s="29"/>
      <c r="D868" s="32"/>
    </row>
    <row r="869">
      <c r="A869" s="29"/>
      <c r="B869" s="29"/>
      <c r="D869" s="32"/>
    </row>
    <row r="870">
      <c r="A870" s="29"/>
      <c r="B870" s="29"/>
      <c r="D870" s="32"/>
    </row>
    <row r="871">
      <c r="A871" s="29"/>
      <c r="B871" s="29"/>
      <c r="D871" s="32"/>
    </row>
    <row r="872">
      <c r="A872" s="29"/>
      <c r="B872" s="29"/>
      <c r="D872" s="32"/>
    </row>
    <row r="873">
      <c r="A873" s="29"/>
      <c r="B873" s="29"/>
      <c r="D873" s="32"/>
    </row>
    <row r="874">
      <c r="A874" s="29"/>
      <c r="B874" s="29"/>
      <c r="D874" s="32"/>
    </row>
    <row r="875">
      <c r="A875" s="29"/>
      <c r="B875" s="29"/>
      <c r="D875" s="32"/>
    </row>
    <row r="876">
      <c r="A876" s="29"/>
      <c r="B876" s="29"/>
      <c r="D876" s="32"/>
    </row>
    <row r="877">
      <c r="A877" s="29"/>
      <c r="B877" s="29"/>
      <c r="D877" s="32"/>
    </row>
    <row r="878">
      <c r="A878" s="29"/>
      <c r="B878" s="29"/>
      <c r="D878" s="32"/>
    </row>
    <row r="879">
      <c r="A879" s="29"/>
      <c r="B879" s="29"/>
      <c r="D879" s="32"/>
    </row>
    <row r="880">
      <c r="A880" s="29"/>
      <c r="B880" s="29"/>
      <c r="D880" s="32"/>
    </row>
    <row r="881">
      <c r="A881" s="29"/>
      <c r="B881" s="29"/>
      <c r="D881" s="32"/>
    </row>
    <row r="882">
      <c r="A882" s="29"/>
      <c r="B882" s="29"/>
      <c r="D882" s="32"/>
    </row>
    <row r="883">
      <c r="A883" s="29"/>
      <c r="B883" s="29"/>
      <c r="D883" s="32"/>
    </row>
    <row r="884">
      <c r="A884" s="29"/>
      <c r="B884" s="29"/>
      <c r="D884" s="32"/>
    </row>
    <row r="885">
      <c r="A885" s="29"/>
      <c r="B885" s="29"/>
      <c r="D885" s="32"/>
    </row>
    <row r="886">
      <c r="A886" s="29"/>
      <c r="B886" s="29"/>
      <c r="D886" s="32"/>
    </row>
    <row r="887">
      <c r="A887" s="29"/>
      <c r="B887" s="29"/>
      <c r="D887" s="32"/>
    </row>
    <row r="888">
      <c r="A888" s="29"/>
      <c r="B888" s="29"/>
      <c r="D888" s="32"/>
    </row>
    <row r="889">
      <c r="A889" s="29"/>
      <c r="B889" s="29"/>
      <c r="D889" s="32"/>
    </row>
    <row r="890">
      <c r="A890" s="29"/>
      <c r="B890" s="29"/>
      <c r="D890" s="32"/>
    </row>
    <row r="891">
      <c r="A891" s="29"/>
      <c r="B891" s="29"/>
      <c r="D891" s="32"/>
    </row>
    <row r="892">
      <c r="A892" s="29"/>
      <c r="B892" s="29"/>
      <c r="D892" s="32"/>
    </row>
    <row r="893">
      <c r="A893" s="29"/>
      <c r="B893" s="29"/>
      <c r="D893" s="32"/>
    </row>
    <row r="894">
      <c r="A894" s="29"/>
      <c r="B894" s="29"/>
      <c r="D894" s="32"/>
    </row>
    <row r="895">
      <c r="A895" s="29"/>
      <c r="B895" s="29"/>
      <c r="D895" s="32"/>
    </row>
    <row r="896">
      <c r="A896" s="29"/>
      <c r="B896" s="29"/>
      <c r="D896" s="32"/>
    </row>
    <row r="897">
      <c r="A897" s="29"/>
      <c r="B897" s="29"/>
      <c r="D897" s="32"/>
    </row>
    <row r="898">
      <c r="A898" s="29"/>
      <c r="B898" s="29"/>
      <c r="D898" s="32"/>
    </row>
    <row r="899">
      <c r="A899" s="29"/>
      <c r="B899" s="29"/>
      <c r="D899" s="32"/>
    </row>
    <row r="900">
      <c r="A900" s="29"/>
      <c r="B900" s="29"/>
      <c r="D900" s="32"/>
    </row>
    <row r="901">
      <c r="A901" s="29"/>
      <c r="B901" s="29"/>
      <c r="D901" s="32"/>
    </row>
    <row r="902">
      <c r="A902" s="29"/>
      <c r="B902" s="29"/>
      <c r="D902" s="32"/>
    </row>
    <row r="903">
      <c r="A903" s="29"/>
      <c r="B903" s="29"/>
      <c r="D903" s="32"/>
    </row>
    <row r="904">
      <c r="A904" s="29"/>
      <c r="B904" s="29"/>
      <c r="D904" s="32"/>
    </row>
    <row r="905">
      <c r="A905" s="29"/>
      <c r="B905" s="29"/>
      <c r="D905" s="32"/>
    </row>
    <row r="906">
      <c r="A906" s="29"/>
      <c r="B906" s="29"/>
      <c r="D906" s="32"/>
    </row>
    <row r="907">
      <c r="A907" s="29"/>
      <c r="B907" s="29"/>
      <c r="D907" s="32"/>
    </row>
    <row r="908">
      <c r="A908" s="29"/>
      <c r="B908" s="29"/>
      <c r="D908" s="32"/>
    </row>
    <row r="909">
      <c r="A909" s="29"/>
      <c r="B909" s="29"/>
      <c r="D909" s="32"/>
    </row>
    <row r="910">
      <c r="A910" s="29"/>
      <c r="B910" s="29"/>
      <c r="D910" s="32"/>
    </row>
    <row r="911">
      <c r="A911" s="29"/>
      <c r="B911" s="29"/>
      <c r="D911" s="32"/>
    </row>
    <row r="912">
      <c r="A912" s="29"/>
      <c r="B912" s="29"/>
      <c r="D912" s="32"/>
    </row>
    <row r="913">
      <c r="A913" s="29"/>
      <c r="B913" s="29"/>
      <c r="D913" s="32"/>
    </row>
    <row r="914">
      <c r="A914" s="29"/>
      <c r="B914" s="29"/>
      <c r="D914" s="32"/>
    </row>
    <row r="915">
      <c r="A915" s="29"/>
      <c r="B915" s="29"/>
      <c r="D915" s="32"/>
    </row>
    <row r="916">
      <c r="A916" s="29"/>
      <c r="B916" s="29"/>
      <c r="D916" s="32"/>
    </row>
    <row r="917">
      <c r="A917" s="29"/>
      <c r="B917" s="29"/>
      <c r="D917" s="32"/>
    </row>
    <row r="918">
      <c r="A918" s="29"/>
      <c r="B918" s="29"/>
      <c r="D918" s="32"/>
    </row>
    <row r="919">
      <c r="A919" s="29"/>
      <c r="B919" s="29"/>
      <c r="D919" s="32"/>
    </row>
    <row r="920">
      <c r="A920" s="29"/>
      <c r="B920" s="29"/>
      <c r="D920" s="32"/>
    </row>
    <row r="921">
      <c r="A921" s="29"/>
      <c r="B921" s="29"/>
      <c r="D921" s="32"/>
    </row>
    <row r="922">
      <c r="A922" s="29"/>
      <c r="B922" s="29"/>
      <c r="D922" s="32"/>
    </row>
    <row r="923">
      <c r="A923" s="29"/>
      <c r="B923" s="29"/>
      <c r="D923" s="32"/>
    </row>
    <row r="924">
      <c r="A924" s="29"/>
      <c r="B924" s="29"/>
      <c r="D924" s="32"/>
    </row>
    <row r="925">
      <c r="A925" s="29"/>
      <c r="B925" s="29"/>
      <c r="D925" s="32"/>
    </row>
    <row r="926">
      <c r="A926" s="29"/>
      <c r="B926" s="29"/>
      <c r="D926" s="32"/>
    </row>
    <row r="927">
      <c r="A927" s="29"/>
      <c r="B927" s="29"/>
      <c r="D927" s="32"/>
    </row>
    <row r="928">
      <c r="A928" s="29"/>
      <c r="B928" s="29"/>
      <c r="D928" s="32"/>
    </row>
    <row r="929">
      <c r="A929" s="29"/>
      <c r="B929" s="29"/>
      <c r="D929" s="32"/>
    </row>
    <row r="930">
      <c r="A930" s="29"/>
      <c r="B930" s="29"/>
      <c r="D930" s="32"/>
    </row>
    <row r="931">
      <c r="A931" s="29"/>
      <c r="B931" s="29"/>
      <c r="D931" s="32"/>
    </row>
    <row r="932">
      <c r="A932" s="29"/>
      <c r="B932" s="29"/>
      <c r="D932" s="32"/>
    </row>
    <row r="933">
      <c r="A933" s="29"/>
      <c r="B933" s="29"/>
      <c r="D933" s="32"/>
    </row>
    <row r="934">
      <c r="A934" s="29"/>
      <c r="B934" s="29"/>
      <c r="D934" s="32"/>
    </row>
    <row r="935">
      <c r="A935" s="29"/>
      <c r="B935" s="29"/>
      <c r="D935" s="32"/>
    </row>
    <row r="936">
      <c r="A936" s="29"/>
      <c r="B936" s="29"/>
      <c r="D936" s="32"/>
    </row>
    <row r="937">
      <c r="A937" s="29"/>
      <c r="B937" s="29"/>
      <c r="D937" s="32"/>
    </row>
    <row r="938">
      <c r="A938" s="29"/>
      <c r="B938" s="29"/>
      <c r="D938" s="32"/>
    </row>
    <row r="939">
      <c r="A939" s="29"/>
      <c r="B939" s="29"/>
      <c r="D939" s="32"/>
    </row>
    <row r="940">
      <c r="A940" s="29"/>
      <c r="B940" s="29"/>
      <c r="D940" s="32"/>
    </row>
    <row r="941">
      <c r="A941" s="29"/>
      <c r="B941" s="29"/>
      <c r="D941" s="32"/>
    </row>
    <row r="942">
      <c r="A942" s="29"/>
      <c r="B942" s="29"/>
      <c r="D942" s="32"/>
    </row>
    <row r="943">
      <c r="A943" s="29"/>
      <c r="B943" s="29"/>
      <c r="D943" s="32"/>
    </row>
    <row r="944">
      <c r="A944" s="29"/>
      <c r="B944" s="29"/>
      <c r="D944" s="32"/>
    </row>
    <row r="945">
      <c r="A945" s="29"/>
      <c r="B945" s="29"/>
      <c r="D945" s="32"/>
    </row>
    <row r="946">
      <c r="A946" s="29"/>
      <c r="B946" s="29"/>
      <c r="D946" s="32"/>
    </row>
    <row r="947">
      <c r="A947" s="29"/>
      <c r="B947" s="29"/>
      <c r="D947" s="32"/>
    </row>
    <row r="948">
      <c r="A948" s="29"/>
      <c r="B948" s="29"/>
      <c r="D948" s="32"/>
    </row>
    <row r="949">
      <c r="A949" s="29"/>
      <c r="B949" s="29"/>
      <c r="D949" s="32"/>
    </row>
    <row r="950">
      <c r="A950" s="29"/>
      <c r="B950" s="29"/>
      <c r="D950" s="32"/>
    </row>
    <row r="951">
      <c r="A951" s="29"/>
      <c r="B951" s="29"/>
      <c r="D951" s="32"/>
    </row>
    <row r="952">
      <c r="A952" s="29"/>
      <c r="B952" s="29"/>
      <c r="D952" s="32"/>
    </row>
    <row r="953">
      <c r="A953" s="29"/>
      <c r="B953" s="29"/>
      <c r="D953" s="32"/>
    </row>
    <row r="954">
      <c r="A954" s="29"/>
      <c r="B954" s="29"/>
      <c r="D954" s="32"/>
    </row>
    <row r="955">
      <c r="A955" s="29"/>
      <c r="B955" s="29"/>
      <c r="D955" s="32"/>
    </row>
    <row r="956">
      <c r="A956" s="29"/>
      <c r="B956" s="29"/>
      <c r="D956" s="32"/>
    </row>
    <row r="957">
      <c r="A957" s="29"/>
      <c r="B957" s="29"/>
      <c r="D957" s="32"/>
    </row>
    <row r="958">
      <c r="A958" s="29"/>
      <c r="B958" s="29"/>
      <c r="D958" s="32"/>
    </row>
    <row r="959">
      <c r="A959" s="29"/>
      <c r="B959" s="29"/>
      <c r="D959" s="32"/>
    </row>
    <row r="960">
      <c r="A960" s="29"/>
      <c r="B960" s="29"/>
      <c r="D960" s="32"/>
    </row>
    <row r="961">
      <c r="A961" s="29"/>
      <c r="B961" s="29"/>
      <c r="D961" s="32"/>
    </row>
    <row r="962">
      <c r="A962" s="29"/>
      <c r="B962" s="29"/>
      <c r="D962" s="32"/>
    </row>
    <row r="963">
      <c r="A963" s="29"/>
      <c r="B963" s="29"/>
      <c r="D963" s="32"/>
    </row>
    <row r="964">
      <c r="A964" s="29"/>
      <c r="B964" s="29"/>
      <c r="D964" s="32"/>
    </row>
    <row r="965">
      <c r="A965" s="29"/>
      <c r="B965" s="29"/>
      <c r="D965" s="32"/>
    </row>
    <row r="966">
      <c r="A966" s="29"/>
      <c r="B966" s="29"/>
      <c r="D966" s="32"/>
    </row>
    <row r="967">
      <c r="A967" s="29"/>
      <c r="B967" s="29"/>
      <c r="D967" s="32"/>
    </row>
    <row r="968">
      <c r="A968" s="29"/>
      <c r="B968" s="29"/>
      <c r="D968" s="32"/>
    </row>
    <row r="969">
      <c r="A969" s="29"/>
      <c r="B969" s="29"/>
      <c r="D969" s="32"/>
    </row>
    <row r="970">
      <c r="A970" s="29"/>
      <c r="B970" s="29"/>
      <c r="D970" s="32"/>
    </row>
    <row r="971">
      <c r="A971" s="29"/>
      <c r="B971" s="29"/>
      <c r="D971" s="32"/>
    </row>
    <row r="972">
      <c r="A972" s="29"/>
      <c r="B972" s="29"/>
      <c r="D972" s="32"/>
    </row>
    <row r="973">
      <c r="A973" s="29"/>
      <c r="B973" s="29"/>
      <c r="D973" s="32"/>
    </row>
    <row r="974">
      <c r="A974" s="29"/>
      <c r="B974" s="29"/>
      <c r="D974" s="32"/>
    </row>
    <row r="975">
      <c r="A975" s="29"/>
      <c r="B975" s="29"/>
      <c r="D975" s="32"/>
    </row>
    <row r="976">
      <c r="A976" s="29"/>
      <c r="B976" s="29"/>
      <c r="D976" s="32"/>
    </row>
    <row r="977">
      <c r="A977" s="29"/>
      <c r="B977" s="29"/>
      <c r="D977" s="32"/>
    </row>
    <row r="978">
      <c r="A978" s="29"/>
      <c r="B978" s="29"/>
      <c r="D978" s="32"/>
    </row>
    <row r="979">
      <c r="A979" s="29"/>
      <c r="B979" s="29"/>
      <c r="D979" s="32"/>
    </row>
    <row r="980">
      <c r="A980" s="29"/>
      <c r="B980" s="29"/>
      <c r="D980" s="32"/>
    </row>
    <row r="981">
      <c r="A981" s="29"/>
      <c r="B981" s="29"/>
      <c r="D981" s="32"/>
    </row>
    <row r="982">
      <c r="A982" s="29"/>
      <c r="B982" s="29"/>
      <c r="D982" s="32"/>
    </row>
    <row r="983">
      <c r="A983" s="29"/>
      <c r="B983" s="29"/>
      <c r="D983" s="32"/>
    </row>
    <row r="984">
      <c r="A984" s="29"/>
      <c r="B984" s="29"/>
      <c r="D984" s="32"/>
    </row>
    <row r="985">
      <c r="A985" s="29"/>
      <c r="B985" s="29"/>
      <c r="D985" s="32"/>
    </row>
    <row r="986">
      <c r="A986" s="29"/>
      <c r="B986" s="29"/>
      <c r="D986" s="32"/>
    </row>
    <row r="987">
      <c r="A987" s="29"/>
      <c r="B987" s="29"/>
      <c r="D987" s="32"/>
    </row>
    <row r="988">
      <c r="A988" s="29"/>
      <c r="B988" s="29"/>
      <c r="D988" s="32"/>
    </row>
    <row r="989">
      <c r="A989" s="29"/>
      <c r="B989" s="29"/>
      <c r="D989" s="32"/>
    </row>
    <row r="990">
      <c r="A990" s="29"/>
      <c r="B990" s="29"/>
      <c r="D990" s="32"/>
    </row>
    <row r="991">
      <c r="A991" s="29"/>
      <c r="B991" s="29"/>
      <c r="D991" s="32"/>
    </row>
    <row r="992">
      <c r="A992" s="29"/>
      <c r="B992" s="29"/>
      <c r="D992" s="32"/>
    </row>
    <row r="993">
      <c r="A993" s="29"/>
      <c r="B993" s="29"/>
      <c r="D993" s="32"/>
    </row>
    <row r="994">
      <c r="A994" s="29"/>
      <c r="B994" s="29"/>
      <c r="D994" s="32"/>
    </row>
    <row r="995">
      <c r="A995" s="29"/>
      <c r="B995" s="29"/>
      <c r="D995" s="32"/>
    </row>
    <row r="996">
      <c r="A996" s="29"/>
      <c r="B996" s="29"/>
      <c r="D996" s="32"/>
    </row>
    <row r="997">
      <c r="A997" s="29"/>
      <c r="B997" s="29"/>
      <c r="D997" s="32"/>
    </row>
    <row r="998">
      <c r="A998" s="29"/>
      <c r="B998" s="29"/>
      <c r="D998" s="32"/>
    </row>
    <row r="999">
      <c r="A999" s="29"/>
      <c r="B999" s="29"/>
      <c r="D999" s="32"/>
    </row>
    <row r="1000">
      <c r="A1000" s="29"/>
      <c r="B1000" s="29"/>
      <c r="D1000" s="32"/>
    </row>
    <row r="1001">
      <c r="A1001" s="29"/>
      <c r="B1001" s="29"/>
      <c r="D1001" s="32"/>
    </row>
    <row r="1002">
      <c r="A1002" s="29"/>
      <c r="B1002" s="29"/>
      <c r="D1002" s="32"/>
    </row>
    <row r="1003">
      <c r="A1003" s="29"/>
      <c r="B1003" s="29"/>
      <c r="D1003" s="32"/>
    </row>
    <row r="1004">
      <c r="A1004" s="29"/>
      <c r="B1004" s="29"/>
      <c r="D1004" s="3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</cols>
  <sheetData>
    <row r="1">
      <c r="A1" s="1" t="s">
        <v>0</v>
      </c>
      <c r="D1" s="26" t="s">
        <v>17</v>
      </c>
    </row>
    <row r="2">
      <c r="A2" s="5" t="s">
        <v>18</v>
      </c>
      <c r="D2" s="26"/>
    </row>
    <row r="3">
      <c r="A3" s="9">
        <v>601.0</v>
      </c>
      <c r="D3" s="33">
        <v>2425.86</v>
      </c>
    </row>
    <row r="4">
      <c r="A4" s="18"/>
      <c r="D4" s="33">
        <v>2300.57</v>
      </c>
    </row>
    <row r="5">
      <c r="A5" s="18"/>
      <c r="D5" s="33">
        <v>1624.9299999999998</v>
      </c>
    </row>
    <row r="6">
      <c r="A6" s="19"/>
      <c r="D6" s="33">
        <v>1479.7</v>
      </c>
    </row>
    <row r="7">
      <c r="A7" s="4"/>
      <c r="D7" s="31">
        <v>0.0</v>
      </c>
    </row>
    <row r="8">
      <c r="A8" s="1" t="s">
        <v>26</v>
      </c>
      <c r="D8" s="31">
        <v>0.0</v>
      </c>
    </row>
    <row r="9">
      <c r="A9" s="9">
        <v>622.0</v>
      </c>
      <c r="D9" s="33">
        <v>1129.56</v>
      </c>
      <c r="E9" s="33">
        <f t="array" ref="E9:H19">WRAPROWS(D9:D52, 4)</f>
        <v>1129.56</v>
      </c>
      <c r="F9" s="33">
        <v>1086.3500000000001</v>
      </c>
      <c r="G9" s="33">
        <v>1017.5700000000002</v>
      </c>
      <c r="H9" s="33">
        <v>878.29</v>
      </c>
    </row>
    <row r="10">
      <c r="A10" s="18"/>
      <c r="D10" s="33">
        <v>1086.3500000000001</v>
      </c>
      <c r="E10" s="33">
        <v>1207.0400000000002</v>
      </c>
      <c r="F10" s="33">
        <v>1167.03</v>
      </c>
      <c r="G10" s="33">
        <v>1134.7300000000002</v>
      </c>
      <c r="H10" s="33">
        <v>791.84</v>
      </c>
    </row>
    <row r="11">
      <c r="A11" s="18"/>
      <c r="D11" s="33">
        <v>1017.5700000000002</v>
      </c>
      <c r="E11" s="33">
        <v>938.6999999999999</v>
      </c>
      <c r="F11" s="33">
        <v>910.3599999999999</v>
      </c>
      <c r="G11" s="33">
        <v>882.16</v>
      </c>
      <c r="H11" s="33">
        <v>704.11</v>
      </c>
    </row>
    <row r="12">
      <c r="A12" s="19"/>
      <c r="D12" s="33">
        <v>878.29</v>
      </c>
      <c r="E12" s="33">
        <v>919.1499999999999</v>
      </c>
      <c r="F12" s="33">
        <v>870.5299999999999</v>
      </c>
      <c r="G12" s="33">
        <v>784.26</v>
      </c>
      <c r="H12" s="33">
        <v>563.03</v>
      </c>
    </row>
    <row r="13">
      <c r="A13" s="9">
        <v>641.0</v>
      </c>
      <c r="D13" s="33">
        <v>1207.0400000000002</v>
      </c>
      <c r="E13" s="33">
        <v>520.12</v>
      </c>
      <c r="F13" s="33">
        <v>521.06</v>
      </c>
      <c r="G13" s="33">
        <v>811.0699999999999</v>
      </c>
      <c r="H13" s="33">
        <v>503.77</v>
      </c>
    </row>
    <row r="14">
      <c r="A14" s="18"/>
      <c r="D14" s="33">
        <v>1167.03</v>
      </c>
      <c r="E14" s="33">
        <v>1173.9399999999998</v>
      </c>
      <c r="F14" s="33">
        <v>1103.9099999999999</v>
      </c>
      <c r="G14" s="33">
        <v>1072.78</v>
      </c>
      <c r="H14" s="33">
        <v>714.4</v>
      </c>
    </row>
    <row r="15">
      <c r="A15" s="18"/>
      <c r="D15" s="33">
        <v>1134.7300000000002</v>
      </c>
      <c r="E15" s="31">
        <v>1218.1899999999998</v>
      </c>
      <c r="F15" s="31">
        <v>1189.7</v>
      </c>
      <c r="G15" s="31">
        <v>1131.33</v>
      </c>
      <c r="H15" s="31">
        <v>805.04</v>
      </c>
    </row>
    <row r="16">
      <c r="A16" s="19"/>
      <c r="D16" s="33">
        <v>791.84</v>
      </c>
      <c r="E16" s="31">
        <v>476.6</v>
      </c>
      <c r="F16" s="31">
        <v>477.45</v>
      </c>
      <c r="G16" s="31">
        <v>997.06</v>
      </c>
      <c r="H16" s="31">
        <v>491.89</v>
      </c>
    </row>
    <row r="17">
      <c r="A17" s="9">
        <v>681.0</v>
      </c>
      <c r="D17" s="33">
        <v>938.6999999999999</v>
      </c>
      <c r="E17" s="31">
        <v>656.98</v>
      </c>
      <c r="F17" s="31">
        <v>652.56</v>
      </c>
      <c r="G17" s="31">
        <v>696.99</v>
      </c>
      <c r="H17" s="31">
        <v>549.92</v>
      </c>
    </row>
    <row r="18">
      <c r="A18" s="18"/>
      <c r="D18" s="33">
        <v>910.3599999999999</v>
      </c>
      <c r="E18" s="31">
        <v>779.11</v>
      </c>
      <c r="F18" s="31">
        <v>781.91</v>
      </c>
      <c r="G18" s="31">
        <v>925.1</v>
      </c>
      <c r="H18" s="31">
        <v>655.49</v>
      </c>
    </row>
    <row r="19">
      <c r="A19" s="18"/>
      <c r="D19" s="33">
        <v>882.16</v>
      </c>
      <c r="E19" s="31">
        <v>731.21</v>
      </c>
      <c r="F19" s="31">
        <v>715.92</v>
      </c>
      <c r="G19" s="31">
        <v>830.4800000000001</v>
      </c>
      <c r="H19" s="31">
        <v>754.8100000000001</v>
      </c>
    </row>
    <row r="20">
      <c r="A20" s="19"/>
      <c r="D20" s="33">
        <v>704.11</v>
      </c>
    </row>
    <row r="21">
      <c r="A21" s="9">
        <v>692.0</v>
      </c>
      <c r="D21" s="33">
        <v>919.1499999999999</v>
      </c>
    </row>
    <row r="22">
      <c r="A22" s="18"/>
      <c r="D22" s="33">
        <v>870.5299999999999</v>
      </c>
    </row>
    <row r="23">
      <c r="A23" s="18"/>
      <c r="D23" s="33">
        <v>784.26</v>
      </c>
    </row>
    <row r="24">
      <c r="A24" s="19"/>
      <c r="D24" s="33">
        <v>563.03</v>
      </c>
    </row>
    <row r="25">
      <c r="A25" s="9">
        <v>702.0</v>
      </c>
      <c r="D25" s="33">
        <v>520.12</v>
      </c>
    </row>
    <row r="26">
      <c r="A26" s="18"/>
      <c r="D26" s="33">
        <v>521.06</v>
      </c>
    </row>
    <row r="27">
      <c r="A27" s="18"/>
      <c r="D27" s="33">
        <v>811.0699999999999</v>
      </c>
    </row>
    <row r="28">
      <c r="A28" s="19"/>
      <c r="D28" s="33">
        <v>503.77</v>
      </c>
    </row>
    <row r="29">
      <c r="A29" s="9">
        <v>711.0</v>
      </c>
      <c r="D29" s="33">
        <v>1173.9399999999998</v>
      </c>
    </row>
    <row r="30">
      <c r="A30" s="18"/>
      <c r="D30" s="33">
        <v>1103.9099999999999</v>
      </c>
    </row>
    <row r="31">
      <c r="A31" s="18"/>
      <c r="D31" s="33">
        <v>1072.78</v>
      </c>
    </row>
    <row r="32">
      <c r="A32" s="19"/>
      <c r="D32" s="33">
        <v>714.4</v>
      </c>
    </row>
    <row r="33">
      <c r="A33" s="9">
        <v>721.0</v>
      </c>
      <c r="D33" s="31">
        <v>1218.1899999999998</v>
      </c>
    </row>
    <row r="34">
      <c r="A34" s="18"/>
      <c r="D34" s="31">
        <v>1189.7</v>
      </c>
    </row>
    <row r="35">
      <c r="A35" s="18"/>
      <c r="D35" s="31">
        <v>1131.33</v>
      </c>
    </row>
    <row r="36">
      <c r="A36" s="19"/>
      <c r="D36" s="31">
        <v>805.04</v>
      </c>
    </row>
    <row r="37">
      <c r="A37" s="9">
        <v>821.0</v>
      </c>
      <c r="D37" s="31">
        <v>476.6</v>
      </c>
    </row>
    <row r="38">
      <c r="A38" s="18"/>
      <c r="D38" s="31">
        <v>477.45</v>
      </c>
    </row>
    <row r="39">
      <c r="A39" s="18"/>
      <c r="D39" s="31">
        <v>997.06</v>
      </c>
    </row>
    <row r="40">
      <c r="A40" s="19"/>
      <c r="D40" s="31">
        <v>491.89</v>
      </c>
    </row>
    <row r="41">
      <c r="A41" s="9">
        <v>831.0</v>
      </c>
      <c r="D41" s="31">
        <v>656.98</v>
      </c>
    </row>
    <row r="42">
      <c r="A42" s="18"/>
      <c r="D42" s="31">
        <v>652.56</v>
      </c>
    </row>
    <row r="43">
      <c r="A43" s="18"/>
      <c r="D43" s="31">
        <v>696.99</v>
      </c>
    </row>
    <row r="44">
      <c r="A44" s="19"/>
      <c r="D44" s="31">
        <v>549.92</v>
      </c>
    </row>
    <row r="45">
      <c r="A45" s="9">
        <v>854.0</v>
      </c>
      <c r="D45" s="31">
        <v>779.11</v>
      </c>
    </row>
    <row r="46">
      <c r="A46" s="18"/>
      <c r="D46" s="31">
        <v>781.91</v>
      </c>
    </row>
    <row r="47">
      <c r="A47" s="18"/>
      <c r="D47" s="31">
        <v>925.1</v>
      </c>
    </row>
    <row r="48">
      <c r="A48" s="19"/>
      <c r="D48" s="31">
        <v>655.49</v>
      </c>
    </row>
    <row r="49">
      <c r="A49" s="9">
        <v>861.0</v>
      </c>
      <c r="D49" s="31">
        <v>731.21</v>
      </c>
    </row>
    <row r="50">
      <c r="A50" s="18"/>
      <c r="D50" s="31">
        <v>715.92</v>
      </c>
    </row>
    <row r="51">
      <c r="A51" s="18"/>
      <c r="D51" s="31">
        <v>830.4800000000001</v>
      </c>
    </row>
    <row r="52">
      <c r="A52" s="19"/>
      <c r="D52" s="31">
        <v>754.8100000000001</v>
      </c>
    </row>
    <row r="53">
      <c r="A53" s="4"/>
      <c r="D53" s="31">
        <v>0.0</v>
      </c>
    </row>
    <row r="54">
      <c r="A54" s="4"/>
      <c r="D54" s="31">
        <v>0.0</v>
      </c>
    </row>
    <row r="55">
      <c r="A55" s="9">
        <v>301.0</v>
      </c>
      <c r="D55" s="31">
        <v>272.93</v>
      </c>
      <c r="E55" s="31">
        <f t="array" ref="E55:H90">WRAPROWS(D55:D198, 4)</f>
        <v>272.93</v>
      </c>
      <c r="F55" s="31">
        <v>248.21</v>
      </c>
      <c r="G55" s="31">
        <v>186.76000000000002</v>
      </c>
      <c r="H55" s="31">
        <v>191.05</v>
      </c>
    </row>
    <row r="56">
      <c r="A56" s="18"/>
      <c r="D56" s="31">
        <v>248.21</v>
      </c>
      <c r="E56" s="31">
        <v>294.65000000000003</v>
      </c>
      <c r="F56" s="31">
        <v>269.01000000000005</v>
      </c>
      <c r="G56" s="31">
        <v>220.57</v>
      </c>
      <c r="H56" s="31">
        <v>232.59</v>
      </c>
    </row>
    <row r="57">
      <c r="A57" s="18"/>
      <c r="D57" s="31">
        <v>186.76000000000002</v>
      </c>
      <c r="E57" s="31">
        <v>120.57</v>
      </c>
      <c r="F57" s="31">
        <v>116.68999999999998</v>
      </c>
      <c r="G57" s="31">
        <v>123.53999999999999</v>
      </c>
      <c r="H57" s="31">
        <v>126.23999999999998</v>
      </c>
    </row>
    <row r="58">
      <c r="A58" s="19"/>
      <c r="D58" s="31">
        <v>191.05</v>
      </c>
      <c r="E58" s="31">
        <v>106.07</v>
      </c>
      <c r="F58" s="31">
        <v>106.66</v>
      </c>
      <c r="G58" s="31">
        <v>21.550000000000004</v>
      </c>
      <c r="H58" s="31">
        <v>111.29</v>
      </c>
    </row>
    <row r="59">
      <c r="A59" s="9">
        <v>302.0</v>
      </c>
      <c r="D59" s="31">
        <v>294.65000000000003</v>
      </c>
      <c r="E59" s="31">
        <v>180.75</v>
      </c>
      <c r="F59" s="31">
        <v>180.34</v>
      </c>
      <c r="G59" s="31">
        <v>304.52</v>
      </c>
      <c r="H59" s="31">
        <v>203.47</v>
      </c>
    </row>
    <row r="60">
      <c r="A60" s="18"/>
      <c r="D60" s="31">
        <v>269.01000000000005</v>
      </c>
      <c r="E60" s="31">
        <v>137.0</v>
      </c>
      <c r="F60" s="31">
        <v>137.74</v>
      </c>
      <c r="G60" s="31">
        <v>188.45</v>
      </c>
      <c r="H60" s="31">
        <v>155.5</v>
      </c>
    </row>
    <row r="61">
      <c r="A61" s="18"/>
      <c r="D61" s="31">
        <v>220.57</v>
      </c>
      <c r="E61" s="31">
        <v>128.98</v>
      </c>
      <c r="F61" s="31">
        <v>128.77</v>
      </c>
      <c r="G61" s="31">
        <v>212.29999999999998</v>
      </c>
      <c r="H61" s="31">
        <v>138.19</v>
      </c>
    </row>
    <row r="62">
      <c r="A62" s="19"/>
      <c r="D62" s="31">
        <v>232.59</v>
      </c>
      <c r="E62" s="31">
        <v>218.57999999999998</v>
      </c>
      <c r="F62" s="31">
        <v>219.19</v>
      </c>
      <c r="G62" s="31">
        <v>348.34000000000003</v>
      </c>
      <c r="H62" s="31">
        <v>206.65</v>
      </c>
    </row>
    <row r="63">
      <c r="A63" s="9">
        <v>303.0</v>
      </c>
      <c r="D63" s="31">
        <v>120.57</v>
      </c>
      <c r="E63" s="31">
        <v>479.90999999999997</v>
      </c>
      <c r="F63" s="31">
        <v>412.09</v>
      </c>
      <c r="G63" s="31">
        <v>286.8</v>
      </c>
      <c r="H63" s="31">
        <v>221.92</v>
      </c>
    </row>
    <row r="64">
      <c r="A64" s="18"/>
      <c r="D64" s="31">
        <v>116.68999999999998</v>
      </c>
      <c r="E64" s="31">
        <v>203.1</v>
      </c>
      <c r="F64" s="31">
        <v>203.98000000000002</v>
      </c>
      <c r="G64" s="31">
        <v>158.54</v>
      </c>
      <c r="H64" s="31">
        <v>132.3</v>
      </c>
    </row>
    <row r="65">
      <c r="A65" s="18"/>
      <c r="D65" s="31">
        <v>123.53999999999999</v>
      </c>
      <c r="E65" s="31">
        <v>254.96000000000004</v>
      </c>
      <c r="F65" s="31">
        <v>237.75</v>
      </c>
      <c r="G65" s="31">
        <v>174.62</v>
      </c>
      <c r="H65" s="31">
        <v>172.66000000000003</v>
      </c>
    </row>
    <row r="66">
      <c r="A66" s="19"/>
      <c r="D66" s="31">
        <v>126.23999999999998</v>
      </c>
      <c r="E66" s="31">
        <v>492.22</v>
      </c>
      <c r="F66" s="31">
        <v>462.69000000000005</v>
      </c>
      <c r="G66" s="31">
        <v>462.56000000000006</v>
      </c>
      <c r="H66" s="31">
        <v>356.15000000000003</v>
      </c>
    </row>
    <row r="67">
      <c r="A67" s="9">
        <v>321.0</v>
      </c>
      <c r="D67" s="31">
        <v>106.07</v>
      </c>
      <c r="E67" s="31">
        <v>258.24</v>
      </c>
      <c r="F67" s="31">
        <v>232.60999999999999</v>
      </c>
      <c r="G67" s="31">
        <v>287.99</v>
      </c>
      <c r="H67" s="31">
        <v>213.92999999999998</v>
      </c>
    </row>
    <row r="68">
      <c r="A68" s="18"/>
      <c r="D68" s="31">
        <v>106.66</v>
      </c>
      <c r="E68" s="31">
        <v>75.17</v>
      </c>
      <c r="F68" s="31">
        <v>75.05</v>
      </c>
      <c r="G68" s="31">
        <v>130.86</v>
      </c>
      <c r="H68" s="31">
        <v>96.0</v>
      </c>
    </row>
    <row r="69">
      <c r="A69" s="18"/>
      <c r="D69" s="31">
        <v>21.550000000000004</v>
      </c>
      <c r="E69" s="31">
        <v>121.54</v>
      </c>
      <c r="F69" s="31">
        <v>121.43</v>
      </c>
      <c r="G69" s="31">
        <v>194.05999999999997</v>
      </c>
      <c r="H69" s="31">
        <v>121.51</v>
      </c>
    </row>
    <row r="70">
      <c r="A70" s="19"/>
      <c r="D70" s="31">
        <v>111.29</v>
      </c>
      <c r="E70" s="31">
        <v>156.67000000000002</v>
      </c>
      <c r="F70" s="31">
        <v>157.38000000000002</v>
      </c>
      <c r="G70" s="31">
        <v>215.79000000000002</v>
      </c>
      <c r="H70" s="31">
        <v>145.39000000000001</v>
      </c>
    </row>
    <row r="71">
      <c r="A71" s="9">
        <v>322.0</v>
      </c>
      <c r="D71" s="31">
        <v>180.75</v>
      </c>
      <c r="E71" s="31">
        <v>61.00000000000001</v>
      </c>
      <c r="F71" s="31">
        <v>61.10999999999999</v>
      </c>
      <c r="G71" s="31">
        <v>110.69</v>
      </c>
      <c r="H71" s="31">
        <v>94.61999999999999</v>
      </c>
    </row>
    <row r="72">
      <c r="A72" s="18"/>
      <c r="D72" s="31">
        <v>180.34</v>
      </c>
      <c r="E72" s="31">
        <v>158.62</v>
      </c>
      <c r="F72" s="31">
        <v>128.87000000000003</v>
      </c>
      <c r="G72" s="31">
        <v>142.28</v>
      </c>
      <c r="H72" s="31">
        <v>103.49</v>
      </c>
    </row>
    <row r="73">
      <c r="A73" s="18"/>
      <c r="D73" s="31">
        <v>304.52</v>
      </c>
      <c r="E73" s="31">
        <v>423.44000000000005</v>
      </c>
      <c r="F73" s="31">
        <v>386.76000000000005</v>
      </c>
      <c r="G73" s="31">
        <v>336.72</v>
      </c>
      <c r="H73" s="31">
        <v>309.76000000000005</v>
      </c>
    </row>
    <row r="74">
      <c r="A74" s="19"/>
      <c r="D74" s="31">
        <v>203.47</v>
      </c>
      <c r="E74" s="31">
        <v>332.49000000000007</v>
      </c>
      <c r="F74" s="31">
        <v>307.13</v>
      </c>
      <c r="G74" s="31">
        <v>300.57</v>
      </c>
      <c r="H74" s="31">
        <v>309.47</v>
      </c>
    </row>
    <row r="75">
      <c r="A75" s="9">
        <v>323.0</v>
      </c>
      <c r="D75" s="31">
        <v>137.0</v>
      </c>
      <c r="E75" s="31">
        <v>285.26000000000005</v>
      </c>
      <c r="F75" s="31">
        <v>285.76000000000005</v>
      </c>
      <c r="G75" s="31">
        <v>319.20000000000005</v>
      </c>
      <c r="H75" s="31">
        <v>222.98</v>
      </c>
    </row>
    <row r="76">
      <c r="A76" s="18"/>
      <c r="D76" s="31">
        <v>137.74</v>
      </c>
      <c r="E76" s="31">
        <v>139.73000000000002</v>
      </c>
      <c r="F76" s="31">
        <v>139.73</v>
      </c>
      <c r="G76" s="31">
        <v>181.48999999999998</v>
      </c>
      <c r="H76" s="31">
        <v>116.16999999999999</v>
      </c>
    </row>
    <row r="77">
      <c r="A77" s="18"/>
      <c r="D77" s="31">
        <v>188.45</v>
      </c>
      <c r="E77" s="31">
        <v>167.5</v>
      </c>
      <c r="F77" s="31">
        <v>167.78</v>
      </c>
      <c r="G77" s="31">
        <v>302.15999999999997</v>
      </c>
      <c r="H77" s="31">
        <v>160.62</v>
      </c>
    </row>
    <row r="78">
      <c r="A78" s="19"/>
      <c r="D78" s="31">
        <v>155.5</v>
      </c>
      <c r="E78" s="31">
        <v>88.08</v>
      </c>
      <c r="F78" s="31">
        <v>88.25</v>
      </c>
      <c r="G78" s="31">
        <v>138.35</v>
      </c>
      <c r="H78" s="31">
        <v>92.92</v>
      </c>
    </row>
    <row r="79">
      <c r="A79" s="9">
        <v>341.0</v>
      </c>
      <c r="D79" s="31">
        <v>128.98</v>
      </c>
      <c r="E79" s="31">
        <v>324.56</v>
      </c>
      <c r="F79" s="31">
        <v>325.03</v>
      </c>
      <c r="G79" s="31">
        <v>408.52</v>
      </c>
      <c r="H79" s="31">
        <v>306.04999999999995</v>
      </c>
    </row>
    <row r="80">
      <c r="A80" s="18"/>
      <c r="D80" s="31">
        <v>128.77</v>
      </c>
      <c r="E80" s="31">
        <v>34.86</v>
      </c>
      <c r="F80" s="31">
        <v>35.05</v>
      </c>
      <c r="G80" s="31">
        <v>209.19</v>
      </c>
      <c r="H80" s="31">
        <v>108.3</v>
      </c>
    </row>
    <row r="81">
      <c r="A81" s="18"/>
      <c r="D81" s="31">
        <v>212.29999999999998</v>
      </c>
      <c r="E81" s="31">
        <v>110.91000000000001</v>
      </c>
      <c r="F81" s="31">
        <v>111.58000000000001</v>
      </c>
      <c r="G81" s="31">
        <v>218.01999999999998</v>
      </c>
      <c r="H81" s="31">
        <v>98.49</v>
      </c>
    </row>
    <row r="82">
      <c r="A82" s="19"/>
      <c r="D82" s="31">
        <v>138.19</v>
      </c>
      <c r="E82" s="31">
        <v>151.32</v>
      </c>
      <c r="F82" s="31">
        <v>152.78</v>
      </c>
      <c r="G82" s="31">
        <v>172.07</v>
      </c>
      <c r="H82" s="31">
        <v>125.28</v>
      </c>
    </row>
    <row r="83">
      <c r="A83" s="9">
        <v>343.0</v>
      </c>
      <c r="D83" s="31">
        <v>218.57999999999998</v>
      </c>
      <c r="E83" s="31">
        <v>189.92</v>
      </c>
      <c r="F83" s="31">
        <v>185.61</v>
      </c>
      <c r="G83" s="31">
        <v>214.87</v>
      </c>
      <c r="H83" s="31">
        <v>143.83</v>
      </c>
    </row>
    <row r="84">
      <c r="A84" s="18"/>
      <c r="D84" s="31">
        <v>219.19</v>
      </c>
      <c r="E84" s="31">
        <v>356.46999999999997</v>
      </c>
      <c r="F84" s="31">
        <v>320.84999999999997</v>
      </c>
      <c r="G84" s="31">
        <v>235.29</v>
      </c>
      <c r="H84" s="31">
        <v>261.41</v>
      </c>
    </row>
    <row r="85">
      <c r="A85" s="18"/>
      <c r="D85" s="31">
        <v>348.34000000000003</v>
      </c>
      <c r="E85" s="31">
        <v>330.09000000000003</v>
      </c>
      <c r="F85" s="31">
        <v>330.27</v>
      </c>
      <c r="G85" s="31">
        <v>222.76000000000002</v>
      </c>
      <c r="H85" s="31">
        <v>286.75</v>
      </c>
    </row>
    <row r="86">
      <c r="A86" s="19"/>
      <c r="D86" s="31">
        <v>206.65</v>
      </c>
      <c r="E86" s="31">
        <v>260.0</v>
      </c>
      <c r="F86" s="31">
        <v>251.35999999999996</v>
      </c>
      <c r="G86" s="31">
        <v>249.32</v>
      </c>
      <c r="H86" s="31">
        <v>233.94</v>
      </c>
    </row>
    <row r="87">
      <c r="A87" s="9">
        <v>344.0</v>
      </c>
      <c r="D87" s="31">
        <v>479.90999999999997</v>
      </c>
      <c r="E87" s="31">
        <v>209.72000000000003</v>
      </c>
      <c r="F87" s="31">
        <v>205.61</v>
      </c>
      <c r="G87" s="31">
        <v>221.46000000000004</v>
      </c>
      <c r="H87" s="31">
        <v>206.91000000000003</v>
      </c>
    </row>
    <row r="88">
      <c r="A88" s="18"/>
      <c r="D88" s="31">
        <v>412.09</v>
      </c>
      <c r="E88" s="31">
        <v>108.75999999999999</v>
      </c>
      <c r="F88" s="31">
        <v>104.91</v>
      </c>
      <c r="G88" s="31">
        <v>45.83</v>
      </c>
      <c r="H88" s="31">
        <v>104.69</v>
      </c>
    </row>
    <row r="89">
      <c r="A89" s="18"/>
      <c r="D89" s="31">
        <v>286.8</v>
      </c>
      <c r="E89" s="31">
        <v>119.39</v>
      </c>
      <c r="F89" s="31">
        <v>110.44999999999999</v>
      </c>
      <c r="G89" s="31">
        <v>90.24</v>
      </c>
      <c r="H89" s="31">
        <v>107.43999999999998</v>
      </c>
    </row>
    <row r="90">
      <c r="A90" s="19"/>
      <c r="D90" s="31">
        <v>221.92</v>
      </c>
      <c r="E90" s="31">
        <v>281.49</v>
      </c>
      <c r="F90" s="31">
        <v>277.86999999999995</v>
      </c>
      <c r="G90" s="31">
        <v>216.38000000000002</v>
      </c>
      <c r="H90" s="31">
        <v>151.18</v>
      </c>
    </row>
    <row r="91">
      <c r="A91" s="9">
        <v>381.0</v>
      </c>
      <c r="D91" s="31">
        <v>203.1</v>
      </c>
    </row>
    <row r="92">
      <c r="A92" s="18"/>
      <c r="D92" s="31">
        <v>203.98000000000002</v>
      </c>
    </row>
    <row r="93">
      <c r="A93" s="18"/>
      <c r="D93" s="31">
        <v>158.54</v>
      </c>
    </row>
    <row r="94">
      <c r="A94" s="19"/>
      <c r="D94" s="31">
        <v>132.3</v>
      </c>
    </row>
    <row r="95">
      <c r="A95" s="9">
        <v>382.0</v>
      </c>
      <c r="D95" s="31">
        <v>254.96000000000004</v>
      </c>
    </row>
    <row r="96">
      <c r="A96" s="18"/>
      <c r="D96" s="31">
        <v>237.75</v>
      </c>
    </row>
    <row r="97">
      <c r="A97" s="18"/>
      <c r="D97" s="31">
        <v>174.62</v>
      </c>
    </row>
    <row r="98">
      <c r="A98" s="19"/>
      <c r="D98" s="31">
        <v>172.66000000000003</v>
      </c>
    </row>
    <row r="99">
      <c r="A99" s="9">
        <v>383.0</v>
      </c>
      <c r="D99" s="31">
        <v>492.22</v>
      </c>
    </row>
    <row r="100">
      <c r="A100" s="18"/>
      <c r="D100" s="31">
        <v>462.69000000000005</v>
      </c>
    </row>
    <row r="101">
      <c r="A101" s="18"/>
      <c r="D101" s="31">
        <v>462.56000000000006</v>
      </c>
    </row>
    <row r="102">
      <c r="A102" s="19"/>
      <c r="D102" s="31">
        <v>356.15000000000003</v>
      </c>
    </row>
    <row r="103">
      <c r="A103" s="9">
        <v>391.0</v>
      </c>
      <c r="D103" s="31">
        <v>258.24</v>
      </c>
    </row>
    <row r="104">
      <c r="A104" s="18"/>
      <c r="D104" s="31">
        <v>232.60999999999999</v>
      </c>
    </row>
    <row r="105">
      <c r="A105" s="18"/>
      <c r="D105" s="31">
        <v>287.99</v>
      </c>
    </row>
    <row r="106">
      <c r="A106" s="19"/>
      <c r="D106" s="31">
        <v>213.92999999999998</v>
      </c>
    </row>
    <row r="107">
      <c r="A107" s="9">
        <v>392.0</v>
      </c>
      <c r="D107" s="31">
        <v>75.17</v>
      </c>
    </row>
    <row r="108">
      <c r="A108" s="18"/>
      <c r="D108" s="31">
        <v>75.05</v>
      </c>
    </row>
    <row r="109">
      <c r="A109" s="18"/>
      <c r="D109" s="31">
        <v>130.86</v>
      </c>
    </row>
    <row r="110">
      <c r="A110" s="19"/>
      <c r="D110" s="31">
        <v>96.0</v>
      </c>
    </row>
    <row r="111">
      <c r="A111" s="9">
        <v>393.0</v>
      </c>
      <c r="D111" s="31">
        <v>121.54</v>
      </c>
    </row>
    <row r="112">
      <c r="A112" s="18"/>
      <c r="D112" s="31">
        <v>121.43</v>
      </c>
    </row>
    <row r="113">
      <c r="A113" s="18"/>
      <c r="D113" s="31">
        <v>194.05999999999997</v>
      </c>
    </row>
    <row r="114">
      <c r="A114" s="19"/>
      <c r="D114" s="31">
        <v>121.51</v>
      </c>
    </row>
    <row r="115">
      <c r="A115" s="9">
        <v>402.0</v>
      </c>
      <c r="D115" s="31">
        <v>156.67000000000002</v>
      </c>
    </row>
    <row r="116">
      <c r="A116" s="18"/>
      <c r="D116" s="31">
        <v>157.38000000000002</v>
      </c>
    </row>
    <row r="117">
      <c r="A117" s="18"/>
      <c r="D117" s="31">
        <v>215.79000000000002</v>
      </c>
    </row>
    <row r="118">
      <c r="A118" s="19"/>
      <c r="D118" s="31">
        <v>145.39000000000001</v>
      </c>
    </row>
    <row r="119">
      <c r="A119" s="9">
        <v>403.0</v>
      </c>
      <c r="D119" s="31">
        <v>61.00000000000001</v>
      </c>
    </row>
    <row r="120">
      <c r="A120" s="18"/>
      <c r="D120" s="31">
        <v>61.10999999999999</v>
      </c>
    </row>
    <row r="121">
      <c r="A121" s="18"/>
      <c r="D121" s="31">
        <v>110.69</v>
      </c>
    </row>
    <row r="122">
      <c r="A122" s="19"/>
      <c r="D122" s="31">
        <v>94.61999999999999</v>
      </c>
    </row>
    <row r="123">
      <c r="A123" s="9">
        <v>404.0</v>
      </c>
      <c r="D123" s="31">
        <v>158.62</v>
      </c>
    </row>
    <row r="124">
      <c r="A124" s="18"/>
      <c r="D124" s="31">
        <v>128.87000000000003</v>
      </c>
    </row>
    <row r="125">
      <c r="A125" s="18"/>
      <c r="D125" s="31">
        <v>142.28</v>
      </c>
    </row>
    <row r="126">
      <c r="A126" s="19"/>
      <c r="D126" s="31">
        <v>103.49</v>
      </c>
    </row>
    <row r="127">
      <c r="A127" s="9">
        <v>411.0</v>
      </c>
      <c r="D127" s="31">
        <v>423.44000000000005</v>
      </c>
    </row>
    <row r="128">
      <c r="A128" s="18"/>
      <c r="D128" s="31">
        <v>386.76000000000005</v>
      </c>
    </row>
    <row r="129">
      <c r="A129" s="18"/>
      <c r="D129" s="31">
        <v>336.72</v>
      </c>
    </row>
    <row r="130">
      <c r="A130" s="19"/>
      <c r="D130" s="31">
        <v>309.76000000000005</v>
      </c>
    </row>
    <row r="131">
      <c r="A131" s="9">
        <v>412.0</v>
      </c>
      <c r="D131" s="31">
        <v>332.49000000000007</v>
      </c>
    </row>
    <row r="132">
      <c r="A132" s="18"/>
      <c r="D132" s="31">
        <v>307.13</v>
      </c>
    </row>
    <row r="133">
      <c r="A133" s="18"/>
      <c r="D133" s="31">
        <v>300.57</v>
      </c>
    </row>
    <row r="134">
      <c r="A134" s="19"/>
      <c r="D134" s="31">
        <v>309.47</v>
      </c>
    </row>
    <row r="135">
      <c r="A135" s="9">
        <v>413.0</v>
      </c>
      <c r="D135" s="31">
        <v>285.26000000000005</v>
      </c>
    </row>
    <row r="136">
      <c r="A136" s="18"/>
      <c r="D136" s="31">
        <v>285.76000000000005</v>
      </c>
    </row>
    <row r="137">
      <c r="A137" s="18"/>
      <c r="D137" s="31">
        <v>319.20000000000005</v>
      </c>
    </row>
    <row r="138">
      <c r="A138" s="19"/>
      <c r="D138" s="31">
        <v>222.98</v>
      </c>
    </row>
    <row r="139">
      <c r="A139" s="9">
        <v>421.0</v>
      </c>
      <c r="D139" s="31">
        <v>139.73000000000002</v>
      </c>
    </row>
    <row r="140">
      <c r="A140" s="18"/>
      <c r="D140" s="31">
        <v>139.73</v>
      </c>
    </row>
    <row r="141">
      <c r="A141" s="18"/>
      <c r="D141" s="31">
        <v>181.48999999999998</v>
      </c>
    </row>
    <row r="142">
      <c r="A142" s="19"/>
      <c r="D142" s="31">
        <v>116.16999999999999</v>
      </c>
    </row>
    <row r="143">
      <c r="A143" s="9">
        <v>422.0</v>
      </c>
      <c r="D143" s="31">
        <v>167.5</v>
      </c>
    </row>
    <row r="144">
      <c r="A144" s="18"/>
      <c r="D144" s="31">
        <v>167.78</v>
      </c>
    </row>
    <row r="145">
      <c r="A145" s="18"/>
      <c r="D145" s="31">
        <v>302.15999999999997</v>
      </c>
    </row>
    <row r="146">
      <c r="A146" s="19"/>
      <c r="D146" s="31">
        <v>160.62</v>
      </c>
    </row>
    <row r="147">
      <c r="A147" s="9">
        <v>423.0</v>
      </c>
      <c r="D147" s="31">
        <v>88.08</v>
      </c>
    </row>
    <row r="148">
      <c r="A148" s="18"/>
      <c r="D148" s="31">
        <v>88.25</v>
      </c>
    </row>
    <row r="149">
      <c r="A149" s="18"/>
      <c r="D149" s="31">
        <v>138.35</v>
      </c>
    </row>
    <row r="150">
      <c r="A150" s="19"/>
      <c r="D150" s="31">
        <v>92.92</v>
      </c>
    </row>
    <row r="151">
      <c r="A151" s="9">
        <v>521.0</v>
      </c>
      <c r="D151" s="31">
        <v>324.56</v>
      </c>
    </row>
    <row r="152">
      <c r="A152" s="18"/>
      <c r="D152" s="31">
        <v>325.03</v>
      </c>
    </row>
    <row r="153">
      <c r="A153" s="18"/>
      <c r="D153" s="31">
        <v>408.52</v>
      </c>
    </row>
    <row r="154">
      <c r="A154" s="19"/>
      <c r="D154" s="31">
        <v>306.04999999999995</v>
      </c>
    </row>
    <row r="155">
      <c r="A155" s="9">
        <v>522.0</v>
      </c>
      <c r="D155" s="31">
        <v>34.86</v>
      </c>
    </row>
    <row r="156">
      <c r="A156" s="18"/>
      <c r="D156" s="31">
        <v>35.05</v>
      </c>
    </row>
    <row r="157">
      <c r="A157" s="18"/>
      <c r="D157" s="31">
        <v>209.19</v>
      </c>
    </row>
    <row r="158">
      <c r="A158" s="19"/>
      <c r="D158" s="31">
        <v>108.3</v>
      </c>
    </row>
    <row r="159">
      <c r="A159" s="9">
        <v>523.0</v>
      </c>
      <c r="D159" s="31">
        <v>110.91000000000001</v>
      </c>
    </row>
    <row r="160">
      <c r="A160" s="18"/>
      <c r="D160" s="31">
        <v>111.58000000000001</v>
      </c>
    </row>
    <row r="161">
      <c r="A161" s="18"/>
      <c r="D161" s="31">
        <v>218.01999999999998</v>
      </c>
    </row>
    <row r="162">
      <c r="A162" s="19"/>
      <c r="D162" s="31">
        <v>98.49</v>
      </c>
    </row>
    <row r="163">
      <c r="A163" s="9">
        <v>533.0</v>
      </c>
      <c r="D163" s="31">
        <v>151.32</v>
      </c>
    </row>
    <row r="164">
      <c r="A164" s="18"/>
      <c r="D164" s="31">
        <v>152.78</v>
      </c>
    </row>
    <row r="165">
      <c r="A165" s="18"/>
      <c r="D165" s="31">
        <v>172.07</v>
      </c>
    </row>
    <row r="166">
      <c r="A166" s="19"/>
      <c r="D166" s="31">
        <v>125.28</v>
      </c>
    </row>
    <row r="167">
      <c r="A167" s="9">
        <v>534.0</v>
      </c>
      <c r="D167" s="31">
        <v>189.92</v>
      </c>
    </row>
    <row r="168">
      <c r="A168" s="18"/>
      <c r="D168" s="31">
        <v>185.61</v>
      </c>
    </row>
    <row r="169">
      <c r="A169" s="18"/>
      <c r="D169" s="31">
        <v>214.87</v>
      </c>
    </row>
    <row r="170">
      <c r="A170" s="19"/>
      <c r="D170" s="31">
        <v>143.83</v>
      </c>
    </row>
    <row r="171">
      <c r="A171" s="9">
        <v>535.0</v>
      </c>
      <c r="D171" s="31">
        <v>356.46999999999997</v>
      </c>
    </row>
    <row r="172">
      <c r="A172" s="18"/>
      <c r="D172" s="31">
        <v>320.84999999999997</v>
      </c>
    </row>
    <row r="173">
      <c r="A173" s="18"/>
      <c r="D173" s="31">
        <v>235.29</v>
      </c>
    </row>
    <row r="174">
      <c r="A174" s="19"/>
      <c r="D174" s="31">
        <v>261.41</v>
      </c>
    </row>
    <row r="175">
      <c r="A175" s="9">
        <v>551.0</v>
      </c>
      <c r="D175" s="31">
        <v>330.09000000000003</v>
      </c>
    </row>
    <row r="176">
      <c r="A176" s="18"/>
      <c r="D176" s="31">
        <v>330.27</v>
      </c>
    </row>
    <row r="177">
      <c r="A177" s="18"/>
      <c r="D177" s="31">
        <v>222.76000000000002</v>
      </c>
    </row>
    <row r="178">
      <c r="A178" s="19"/>
      <c r="D178" s="31">
        <v>286.75</v>
      </c>
    </row>
    <row r="179">
      <c r="A179" s="9">
        <v>552.0</v>
      </c>
      <c r="D179" s="31">
        <v>260.0</v>
      </c>
    </row>
    <row r="180">
      <c r="A180" s="18"/>
      <c r="D180" s="31">
        <v>251.35999999999996</v>
      </c>
    </row>
    <row r="181">
      <c r="A181" s="18"/>
      <c r="D181" s="31">
        <v>249.32</v>
      </c>
    </row>
    <row r="182">
      <c r="A182" s="19"/>
      <c r="D182" s="31">
        <v>233.94</v>
      </c>
    </row>
    <row r="183">
      <c r="A183" s="9">
        <v>553.0</v>
      </c>
      <c r="D183" s="31">
        <v>209.72000000000003</v>
      </c>
    </row>
    <row r="184">
      <c r="A184" s="18"/>
      <c r="D184" s="31">
        <v>205.61</v>
      </c>
    </row>
    <row r="185">
      <c r="A185" s="18"/>
      <c r="D185" s="31">
        <v>221.46000000000004</v>
      </c>
    </row>
    <row r="186">
      <c r="A186" s="19"/>
      <c r="D186" s="31">
        <v>206.91000000000003</v>
      </c>
    </row>
    <row r="187">
      <c r="A187" s="9">
        <v>561.0</v>
      </c>
      <c r="D187" s="31">
        <v>108.75999999999999</v>
      </c>
    </row>
    <row r="188">
      <c r="A188" s="18"/>
      <c r="D188" s="31">
        <v>104.91</v>
      </c>
    </row>
    <row r="189">
      <c r="A189" s="18"/>
      <c r="D189" s="31">
        <v>45.83</v>
      </c>
    </row>
    <row r="190">
      <c r="A190" s="19"/>
      <c r="D190" s="31">
        <v>104.69</v>
      </c>
    </row>
    <row r="191">
      <c r="A191" s="9">
        <v>562.0</v>
      </c>
      <c r="D191" s="31">
        <v>119.39</v>
      </c>
    </row>
    <row r="192">
      <c r="A192" s="18"/>
      <c r="D192" s="31">
        <v>110.44999999999999</v>
      </c>
    </row>
    <row r="193">
      <c r="A193" s="18"/>
      <c r="D193" s="31">
        <v>90.24</v>
      </c>
    </row>
    <row r="194">
      <c r="A194" s="19"/>
      <c r="D194" s="31">
        <v>107.43999999999998</v>
      </c>
    </row>
    <row r="195">
      <c r="A195" s="9">
        <v>564.0</v>
      </c>
      <c r="D195" s="31">
        <v>281.49</v>
      </c>
    </row>
    <row r="196">
      <c r="A196" s="18"/>
      <c r="D196" s="31">
        <v>277.86999999999995</v>
      </c>
    </row>
    <row r="197">
      <c r="A197" s="18"/>
      <c r="D197" s="31">
        <v>216.38000000000002</v>
      </c>
    </row>
    <row r="198">
      <c r="A198" s="19"/>
      <c r="D198" s="31">
        <v>151.18</v>
      </c>
    </row>
    <row r="199">
      <c r="A199" s="4"/>
      <c r="D199" s="31">
        <v>0.0</v>
      </c>
      <c r="E199" s="26" t="s">
        <v>53</v>
      </c>
    </row>
    <row r="200">
      <c r="A200" s="4"/>
      <c r="D200" s="31">
        <v>0.0</v>
      </c>
      <c r="E200" s="26" t="s">
        <v>22</v>
      </c>
      <c r="F200" s="26" t="s">
        <v>23</v>
      </c>
      <c r="G200" s="26" t="s">
        <v>24</v>
      </c>
      <c r="H200" s="26" t="s">
        <v>25</v>
      </c>
    </row>
    <row r="201">
      <c r="A201" s="9">
        <v>1.0</v>
      </c>
      <c r="D201" s="31">
        <v>68.95</v>
      </c>
      <c r="E201" s="31">
        <f t="array" ref="E201:H236">WRAPROWS(D201:D344, 4)</f>
        <v>68.95</v>
      </c>
      <c r="F201" s="31">
        <v>47.589999999999996</v>
      </c>
      <c r="G201" s="31">
        <v>52.9</v>
      </c>
      <c r="H201" s="31">
        <v>72.81</v>
      </c>
    </row>
    <row r="202">
      <c r="A202" s="18"/>
      <c r="D202" s="31">
        <v>47.589999999999996</v>
      </c>
      <c r="E202" s="31">
        <v>30.44</v>
      </c>
      <c r="F202" s="31">
        <v>30.49</v>
      </c>
      <c r="G202" s="31">
        <v>43.98</v>
      </c>
      <c r="H202" s="31">
        <v>30.599999999999998</v>
      </c>
    </row>
    <row r="203">
      <c r="A203" s="18"/>
      <c r="D203" s="31">
        <v>52.9</v>
      </c>
      <c r="E203" s="31">
        <v>32.599999999999994</v>
      </c>
      <c r="F203" s="31">
        <v>32.73</v>
      </c>
      <c r="G203" s="31">
        <v>50.379999999999995</v>
      </c>
      <c r="H203" s="31">
        <v>49.66</v>
      </c>
    </row>
    <row r="204">
      <c r="A204" s="19"/>
      <c r="D204" s="31">
        <v>72.81</v>
      </c>
      <c r="E204" s="31">
        <v>46.230000000000004</v>
      </c>
      <c r="F204" s="31">
        <v>37.5</v>
      </c>
      <c r="G204" s="31">
        <v>34.75</v>
      </c>
      <c r="H204" s="31">
        <v>41.96</v>
      </c>
    </row>
    <row r="205">
      <c r="A205" s="9">
        <v>2.0</v>
      </c>
      <c r="D205" s="31">
        <v>30.44</v>
      </c>
      <c r="E205" s="31">
        <v>69.79</v>
      </c>
      <c r="F205" s="31">
        <v>52.809999999999995</v>
      </c>
      <c r="G205" s="31">
        <v>41.24999999999999</v>
      </c>
      <c r="H205" s="31">
        <v>87.12</v>
      </c>
    </row>
    <row r="206">
      <c r="A206" s="18"/>
      <c r="D206" s="31">
        <v>30.49</v>
      </c>
      <c r="E206" s="31">
        <v>51.809999999999995</v>
      </c>
      <c r="F206" s="31">
        <v>51.41</v>
      </c>
      <c r="G206" s="31">
        <v>13.0</v>
      </c>
      <c r="H206" s="31">
        <v>55.96</v>
      </c>
    </row>
    <row r="207">
      <c r="A207" s="18"/>
      <c r="D207" s="31">
        <v>43.98</v>
      </c>
      <c r="E207" s="31">
        <v>53.050000000000004</v>
      </c>
      <c r="F207" s="31">
        <v>52.54</v>
      </c>
      <c r="G207" s="31">
        <v>45.5</v>
      </c>
      <c r="H207" s="31">
        <v>60.99</v>
      </c>
    </row>
    <row r="208">
      <c r="A208" s="19"/>
      <c r="D208" s="31">
        <v>30.599999999999998</v>
      </c>
      <c r="E208" s="31">
        <v>34.42</v>
      </c>
      <c r="F208" s="31">
        <v>34.31</v>
      </c>
      <c r="G208" s="31">
        <v>13.04</v>
      </c>
      <c r="H208" s="31">
        <v>42.75</v>
      </c>
    </row>
    <row r="209">
      <c r="A209" s="9">
        <v>3.0</v>
      </c>
      <c r="D209" s="31">
        <v>32.599999999999994</v>
      </c>
      <c r="E209" s="31">
        <v>54.79</v>
      </c>
      <c r="F209" s="31">
        <v>54.86</v>
      </c>
      <c r="G209" s="31">
        <v>39.45</v>
      </c>
      <c r="H209" s="31">
        <v>59.120000000000005</v>
      </c>
    </row>
    <row r="210">
      <c r="A210" s="18"/>
      <c r="D210" s="31">
        <v>32.73</v>
      </c>
      <c r="E210" s="31">
        <v>34.27</v>
      </c>
      <c r="F210" s="31">
        <v>34.190000000000005</v>
      </c>
      <c r="G210" s="31">
        <v>5.0</v>
      </c>
      <c r="H210" s="31">
        <v>38.370000000000005</v>
      </c>
    </row>
    <row r="211">
      <c r="A211" s="18"/>
      <c r="D211" s="31">
        <v>50.379999999999995</v>
      </c>
      <c r="E211" s="31">
        <v>8.26</v>
      </c>
      <c r="F211" s="31">
        <v>8.26</v>
      </c>
      <c r="G211" s="31">
        <v>7.869999999999999</v>
      </c>
      <c r="H211" s="31">
        <v>12.409999999999998</v>
      </c>
    </row>
    <row r="212">
      <c r="A212" s="19"/>
      <c r="D212" s="31">
        <v>49.66</v>
      </c>
      <c r="E212" s="31">
        <v>71.29</v>
      </c>
      <c r="F212" s="31">
        <v>54.31</v>
      </c>
      <c r="G212" s="31">
        <v>51.08</v>
      </c>
      <c r="H212" s="31">
        <v>70.98</v>
      </c>
    </row>
    <row r="213">
      <c r="A213" s="9">
        <v>21.0</v>
      </c>
      <c r="D213" s="31">
        <v>46.230000000000004</v>
      </c>
      <c r="E213" s="31">
        <v>26.029999999999998</v>
      </c>
      <c r="F213" s="31">
        <v>25.86</v>
      </c>
      <c r="G213" s="31">
        <v>5.13</v>
      </c>
      <c r="H213" s="31">
        <v>34.53</v>
      </c>
    </row>
    <row r="214">
      <c r="A214" s="18"/>
      <c r="D214" s="31">
        <v>37.5</v>
      </c>
      <c r="E214" s="31">
        <v>25.639999999999997</v>
      </c>
      <c r="F214" s="31">
        <v>25.74</v>
      </c>
      <c r="G214" s="31">
        <v>20.349999999999998</v>
      </c>
      <c r="H214" s="31">
        <v>30.069999999999997</v>
      </c>
    </row>
    <row r="215">
      <c r="A215" s="18"/>
      <c r="D215" s="31">
        <v>34.75</v>
      </c>
      <c r="E215" s="31">
        <v>45.97</v>
      </c>
      <c r="F215" s="31">
        <v>41.36</v>
      </c>
      <c r="G215" s="31">
        <v>38.21</v>
      </c>
      <c r="H215" s="31">
        <v>41.56</v>
      </c>
    </row>
    <row r="216">
      <c r="A216" s="19"/>
      <c r="D216" s="31">
        <v>41.96</v>
      </c>
      <c r="E216" s="31">
        <v>23.92</v>
      </c>
      <c r="F216" s="31">
        <v>23.990000000000002</v>
      </c>
      <c r="G216" s="31">
        <v>26.1</v>
      </c>
      <c r="H216" s="31">
        <v>32.32</v>
      </c>
    </row>
    <row r="217">
      <c r="A217" s="9">
        <v>22.0</v>
      </c>
      <c r="D217" s="31">
        <v>69.79</v>
      </c>
      <c r="E217" s="31">
        <v>18.51</v>
      </c>
      <c r="F217" s="31">
        <v>10.059999999999999</v>
      </c>
      <c r="G217" s="31">
        <v>9.98</v>
      </c>
      <c r="H217" s="31">
        <v>22.650000000000002</v>
      </c>
    </row>
    <row r="218">
      <c r="A218" s="18"/>
      <c r="D218" s="31">
        <v>52.809999999999995</v>
      </c>
      <c r="E218" s="31">
        <v>25.36</v>
      </c>
      <c r="F218" s="31">
        <v>25.0</v>
      </c>
      <c r="G218" s="31">
        <v>32.49</v>
      </c>
      <c r="H218" s="31">
        <v>29.979999999999997</v>
      </c>
    </row>
    <row r="219">
      <c r="A219" s="18"/>
      <c r="D219" s="31">
        <v>41.24999999999999</v>
      </c>
      <c r="E219" s="31">
        <v>30.929999999999996</v>
      </c>
      <c r="F219" s="31">
        <v>30.99</v>
      </c>
      <c r="G219" s="31">
        <v>24.89</v>
      </c>
      <c r="H219" s="31">
        <v>30.81</v>
      </c>
    </row>
    <row r="220">
      <c r="A220" s="19"/>
      <c r="D220" s="31">
        <v>87.12</v>
      </c>
      <c r="E220" s="31">
        <v>35.72</v>
      </c>
      <c r="F220" s="31">
        <v>35.949999999999996</v>
      </c>
      <c r="G220" s="31">
        <v>21.720000000000002</v>
      </c>
      <c r="H220" s="31">
        <v>43.94</v>
      </c>
    </row>
    <row r="221">
      <c r="A221" s="9">
        <v>23.0</v>
      </c>
      <c r="D221" s="31">
        <v>51.809999999999995</v>
      </c>
      <c r="E221" s="31">
        <v>53.5</v>
      </c>
      <c r="F221" s="31">
        <v>36.82</v>
      </c>
      <c r="G221" s="31">
        <v>30.72</v>
      </c>
      <c r="H221" s="31">
        <v>49.38</v>
      </c>
    </row>
    <row r="222">
      <c r="A222" s="18"/>
      <c r="D222" s="31">
        <v>51.41</v>
      </c>
      <c r="E222" s="31">
        <v>31.9</v>
      </c>
      <c r="F222" s="31">
        <v>31.92</v>
      </c>
      <c r="G222" s="31">
        <v>56.3</v>
      </c>
      <c r="H222" s="31">
        <v>44.23</v>
      </c>
    </row>
    <row r="223">
      <c r="A223" s="18"/>
      <c r="D223" s="31">
        <v>13.0</v>
      </c>
      <c r="E223" s="31">
        <v>11.76</v>
      </c>
      <c r="F223" s="31">
        <v>11.84</v>
      </c>
      <c r="G223" s="31">
        <v>33.86</v>
      </c>
      <c r="H223" s="31">
        <v>20.13</v>
      </c>
    </row>
    <row r="224">
      <c r="A224" s="19"/>
      <c r="D224" s="31">
        <v>55.96</v>
      </c>
      <c r="E224" s="31">
        <v>35.300000000000004</v>
      </c>
      <c r="F224" s="31">
        <v>31.159999999999997</v>
      </c>
      <c r="G224" s="31">
        <v>54.97</v>
      </c>
      <c r="H224" s="31">
        <v>35.18</v>
      </c>
    </row>
    <row r="225">
      <c r="A225" s="9">
        <v>41.0</v>
      </c>
      <c r="D225" s="31">
        <v>53.050000000000004</v>
      </c>
      <c r="E225" s="31">
        <v>49.17</v>
      </c>
      <c r="F225" s="31">
        <v>48.709999999999994</v>
      </c>
      <c r="G225" s="31">
        <v>27.029999999999994</v>
      </c>
      <c r="H225" s="31">
        <v>61.459999999999994</v>
      </c>
    </row>
    <row r="226">
      <c r="A226" s="18"/>
      <c r="D226" s="31">
        <v>52.54</v>
      </c>
      <c r="E226" s="31">
        <v>22.91</v>
      </c>
      <c r="F226" s="31">
        <v>14.09</v>
      </c>
      <c r="G226" s="31">
        <v>28.920000000000005</v>
      </c>
      <c r="H226" s="31">
        <v>31.179999999999996</v>
      </c>
    </row>
    <row r="227">
      <c r="A227" s="18"/>
      <c r="D227" s="31">
        <v>45.5</v>
      </c>
      <c r="E227" s="31">
        <v>41.699999999999996</v>
      </c>
      <c r="F227" s="31">
        <v>41.64</v>
      </c>
      <c r="G227" s="31">
        <v>23.72</v>
      </c>
      <c r="H227" s="31">
        <v>45.85999999999999</v>
      </c>
    </row>
    <row r="228">
      <c r="A228" s="19"/>
      <c r="D228" s="31">
        <v>60.99</v>
      </c>
      <c r="E228" s="31">
        <v>20.659999999999997</v>
      </c>
      <c r="F228" s="31">
        <v>20.759999999999998</v>
      </c>
      <c r="G228" s="31">
        <v>15.24</v>
      </c>
      <c r="H228" s="31">
        <v>20.749999999999996</v>
      </c>
    </row>
    <row r="229">
      <c r="A229" s="9">
        <v>42.0</v>
      </c>
      <c r="D229" s="31">
        <v>34.42</v>
      </c>
      <c r="E229" s="31">
        <v>25.889999999999997</v>
      </c>
      <c r="F229" s="31">
        <v>25.950000000000003</v>
      </c>
      <c r="G229" s="31">
        <v>28.24</v>
      </c>
      <c r="H229" s="31">
        <v>30.439999999999998</v>
      </c>
    </row>
    <row r="230">
      <c r="A230" s="18"/>
      <c r="D230" s="31">
        <v>34.31</v>
      </c>
      <c r="E230" s="31">
        <v>30.19</v>
      </c>
      <c r="F230" s="31">
        <v>21.54</v>
      </c>
      <c r="G230" s="31">
        <v>8.58</v>
      </c>
      <c r="H230" s="31">
        <v>38.809999999999995</v>
      </c>
    </row>
    <row r="231">
      <c r="A231" s="18"/>
      <c r="D231" s="31">
        <v>13.04</v>
      </c>
      <c r="E231" s="31">
        <v>44.93</v>
      </c>
      <c r="F231" s="31">
        <v>44.379999999999995</v>
      </c>
      <c r="G231" s="31">
        <v>60.59</v>
      </c>
      <c r="H231" s="31">
        <v>57.0</v>
      </c>
    </row>
    <row r="232">
      <c r="A232" s="19"/>
      <c r="D232" s="31">
        <v>42.75</v>
      </c>
      <c r="E232" s="31">
        <v>37.76</v>
      </c>
      <c r="F232" s="31">
        <v>33.72</v>
      </c>
      <c r="G232" s="31">
        <v>49.97</v>
      </c>
      <c r="H232" s="31">
        <v>46.37</v>
      </c>
    </row>
    <row r="233">
      <c r="A233" s="9">
        <v>43.0</v>
      </c>
      <c r="D233" s="31">
        <v>54.79</v>
      </c>
      <c r="E233" s="31">
        <v>42.13999999999999</v>
      </c>
      <c r="F233" s="31">
        <v>42.089999999999996</v>
      </c>
      <c r="G233" s="31">
        <v>58.01</v>
      </c>
      <c r="H233" s="31">
        <v>50.31999999999999</v>
      </c>
    </row>
    <row r="234">
      <c r="A234" s="18"/>
      <c r="D234" s="31">
        <v>54.86</v>
      </c>
      <c r="E234" s="31">
        <v>28.729999999999997</v>
      </c>
      <c r="F234" s="31">
        <v>24.569999999999997</v>
      </c>
      <c r="G234" s="31">
        <v>7.83</v>
      </c>
      <c r="H234" s="31">
        <v>33.17</v>
      </c>
    </row>
    <row r="235">
      <c r="A235" s="18"/>
      <c r="D235" s="31">
        <v>39.45</v>
      </c>
      <c r="E235" s="31">
        <v>68.01</v>
      </c>
      <c r="F235" s="31">
        <v>38.64</v>
      </c>
      <c r="G235" s="31">
        <v>12.849999999999998</v>
      </c>
      <c r="H235" s="31">
        <v>68.11999999999999</v>
      </c>
    </row>
    <row r="236">
      <c r="A236" s="19"/>
      <c r="D236" s="31">
        <v>59.120000000000005</v>
      </c>
      <c r="E236" s="31">
        <v>23.68</v>
      </c>
      <c r="F236" s="31">
        <v>23.759999999999998</v>
      </c>
      <c r="G236" s="31">
        <v>6.73</v>
      </c>
      <c r="H236" s="31">
        <v>36.00000000000001</v>
      </c>
    </row>
    <row r="237">
      <c r="A237" s="9">
        <v>81.0</v>
      </c>
      <c r="D237" s="31">
        <v>34.27</v>
      </c>
    </row>
    <row r="238">
      <c r="A238" s="18"/>
      <c r="D238" s="31">
        <v>34.190000000000005</v>
      </c>
    </row>
    <row r="239">
      <c r="A239" s="18"/>
      <c r="D239" s="31">
        <v>5.0</v>
      </c>
    </row>
    <row r="240">
      <c r="A240" s="19"/>
      <c r="D240" s="31">
        <v>38.370000000000005</v>
      </c>
    </row>
    <row r="241">
      <c r="A241" s="9">
        <v>82.0</v>
      </c>
      <c r="D241" s="31">
        <v>8.26</v>
      </c>
    </row>
    <row r="242">
      <c r="A242" s="18"/>
      <c r="D242" s="31">
        <v>8.26</v>
      </c>
    </row>
    <row r="243">
      <c r="A243" s="18"/>
      <c r="D243" s="31">
        <v>7.869999999999999</v>
      </c>
    </row>
    <row r="244">
      <c r="A244" s="19"/>
      <c r="D244" s="31">
        <v>12.409999999999998</v>
      </c>
    </row>
    <row r="245">
      <c r="A245" s="9">
        <v>85.0</v>
      </c>
      <c r="D245" s="31">
        <v>71.29</v>
      </c>
    </row>
    <row r="246">
      <c r="A246" s="18"/>
      <c r="D246" s="31">
        <v>54.31</v>
      </c>
    </row>
    <row r="247">
      <c r="A247" s="18"/>
      <c r="D247" s="31">
        <v>51.08</v>
      </c>
    </row>
    <row r="248">
      <c r="A248" s="19"/>
      <c r="D248" s="31">
        <v>70.98</v>
      </c>
    </row>
    <row r="249">
      <c r="A249" s="9">
        <v>91.0</v>
      </c>
      <c r="D249" s="31">
        <v>26.029999999999998</v>
      </c>
    </row>
    <row r="250">
      <c r="A250" s="18"/>
      <c r="D250" s="31">
        <v>25.86</v>
      </c>
    </row>
    <row r="251">
      <c r="A251" s="18"/>
      <c r="D251" s="31">
        <v>5.13</v>
      </c>
    </row>
    <row r="252">
      <c r="A252" s="19"/>
      <c r="D252" s="31">
        <v>34.53</v>
      </c>
    </row>
    <row r="253">
      <c r="A253" s="9">
        <v>92.0</v>
      </c>
      <c r="D253" s="31">
        <v>25.639999999999997</v>
      </c>
    </row>
    <row r="254">
      <c r="A254" s="18"/>
      <c r="D254" s="31">
        <v>25.74</v>
      </c>
    </row>
    <row r="255">
      <c r="A255" s="18"/>
      <c r="D255" s="31">
        <v>20.349999999999998</v>
      </c>
    </row>
    <row r="256">
      <c r="A256" s="19"/>
      <c r="D256" s="31">
        <v>30.069999999999997</v>
      </c>
    </row>
    <row r="257">
      <c r="A257" s="9">
        <v>93.0</v>
      </c>
      <c r="D257" s="31">
        <v>45.97</v>
      </c>
    </row>
    <row r="258">
      <c r="A258" s="18"/>
      <c r="D258" s="31">
        <v>41.36</v>
      </c>
    </row>
    <row r="259">
      <c r="A259" s="18"/>
      <c r="D259" s="31">
        <v>38.21</v>
      </c>
    </row>
    <row r="260">
      <c r="A260" s="19"/>
      <c r="D260" s="31">
        <v>41.56</v>
      </c>
    </row>
    <row r="261">
      <c r="A261" s="9">
        <v>101.0</v>
      </c>
      <c r="D261" s="31">
        <v>23.92</v>
      </c>
    </row>
    <row r="262">
      <c r="A262" s="18"/>
      <c r="D262" s="31">
        <v>23.990000000000002</v>
      </c>
    </row>
    <row r="263">
      <c r="A263" s="18"/>
      <c r="D263" s="31">
        <v>26.1</v>
      </c>
    </row>
    <row r="264">
      <c r="A264" s="19"/>
      <c r="D264" s="31">
        <v>32.32</v>
      </c>
    </row>
    <row r="265">
      <c r="A265" s="9">
        <v>103.0</v>
      </c>
      <c r="D265" s="31">
        <v>18.51</v>
      </c>
    </row>
    <row r="266">
      <c r="A266" s="18"/>
      <c r="D266" s="31">
        <v>10.059999999999999</v>
      </c>
    </row>
    <row r="267">
      <c r="A267" s="18"/>
      <c r="D267" s="31">
        <v>9.98</v>
      </c>
    </row>
    <row r="268">
      <c r="A268" s="19"/>
      <c r="D268" s="31">
        <v>22.650000000000002</v>
      </c>
    </row>
    <row r="269">
      <c r="A269" s="9">
        <v>104.0</v>
      </c>
      <c r="D269" s="31">
        <v>25.36</v>
      </c>
    </row>
    <row r="270">
      <c r="A270" s="18"/>
      <c r="D270" s="31">
        <v>25.0</v>
      </c>
    </row>
    <row r="271">
      <c r="A271" s="18"/>
      <c r="D271" s="31">
        <v>32.49</v>
      </c>
    </row>
    <row r="272">
      <c r="A272" s="19"/>
      <c r="D272" s="31">
        <v>29.979999999999997</v>
      </c>
    </row>
    <row r="273">
      <c r="A273" s="9">
        <v>111.0</v>
      </c>
      <c r="D273" s="31">
        <v>30.929999999999996</v>
      </c>
    </row>
    <row r="274">
      <c r="A274" s="18"/>
      <c r="D274" s="31">
        <v>30.99</v>
      </c>
    </row>
    <row r="275">
      <c r="A275" s="18"/>
      <c r="D275" s="31">
        <v>24.89</v>
      </c>
    </row>
    <row r="276">
      <c r="A276" s="19"/>
      <c r="D276" s="31">
        <v>30.81</v>
      </c>
    </row>
    <row r="277">
      <c r="A277" s="9">
        <v>112.0</v>
      </c>
      <c r="D277" s="31">
        <v>35.72</v>
      </c>
    </row>
    <row r="278">
      <c r="A278" s="18"/>
      <c r="D278" s="31">
        <v>35.949999999999996</v>
      </c>
    </row>
    <row r="279">
      <c r="A279" s="18"/>
      <c r="D279" s="31">
        <v>21.720000000000002</v>
      </c>
    </row>
    <row r="280">
      <c r="A280" s="19"/>
      <c r="D280" s="31">
        <v>43.94</v>
      </c>
    </row>
    <row r="281">
      <c r="A281" s="9">
        <v>113.0</v>
      </c>
      <c r="D281" s="31">
        <v>53.5</v>
      </c>
    </row>
    <row r="282">
      <c r="A282" s="18"/>
      <c r="D282" s="31">
        <v>36.82</v>
      </c>
    </row>
    <row r="283">
      <c r="A283" s="18"/>
      <c r="D283" s="31">
        <v>30.72</v>
      </c>
    </row>
    <row r="284">
      <c r="A284" s="19"/>
      <c r="D284" s="31">
        <v>49.38</v>
      </c>
    </row>
    <row r="285">
      <c r="A285" s="9">
        <v>121.0</v>
      </c>
      <c r="D285" s="31">
        <v>31.9</v>
      </c>
    </row>
    <row r="286">
      <c r="A286" s="18"/>
      <c r="D286" s="31">
        <v>31.92</v>
      </c>
    </row>
    <row r="287">
      <c r="A287" s="18"/>
      <c r="D287" s="31">
        <v>56.3</v>
      </c>
    </row>
    <row r="288">
      <c r="A288" s="19"/>
      <c r="D288" s="31">
        <v>44.23</v>
      </c>
    </row>
    <row r="289">
      <c r="A289" s="9">
        <v>122.0</v>
      </c>
      <c r="D289" s="31">
        <v>11.76</v>
      </c>
    </row>
    <row r="290">
      <c r="A290" s="18"/>
      <c r="D290" s="31">
        <v>11.84</v>
      </c>
    </row>
    <row r="291">
      <c r="A291" s="18"/>
      <c r="D291" s="31">
        <v>33.86</v>
      </c>
    </row>
    <row r="292">
      <c r="A292" s="19"/>
      <c r="D292" s="31">
        <v>20.13</v>
      </c>
    </row>
    <row r="293">
      <c r="A293" s="9">
        <v>123.0</v>
      </c>
      <c r="D293" s="31">
        <v>35.300000000000004</v>
      </c>
    </row>
    <row r="294">
      <c r="A294" s="18"/>
      <c r="D294" s="31">
        <v>31.159999999999997</v>
      </c>
    </row>
    <row r="295">
      <c r="A295" s="18"/>
      <c r="D295" s="31">
        <v>54.97</v>
      </c>
    </row>
    <row r="296">
      <c r="A296" s="19"/>
      <c r="D296" s="31">
        <v>35.18</v>
      </c>
    </row>
    <row r="297">
      <c r="A297" s="9">
        <v>221.0</v>
      </c>
      <c r="D297" s="31">
        <v>49.17</v>
      </c>
    </row>
    <row r="298">
      <c r="A298" s="18"/>
      <c r="D298" s="31">
        <v>48.709999999999994</v>
      </c>
    </row>
    <row r="299">
      <c r="A299" s="18"/>
      <c r="D299" s="31">
        <v>27.029999999999994</v>
      </c>
    </row>
    <row r="300">
      <c r="A300" s="19"/>
      <c r="D300" s="31">
        <v>61.459999999999994</v>
      </c>
    </row>
    <row r="301">
      <c r="A301" s="9">
        <v>222.0</v>
      </c>
      <c r="D301" s="31">
        <v>22.91</v>
      </c>
    </row>
    <row r="302">
      <c r="A302" s="18"/>
      <c r="D302" s="31">
        <v>14.09</v>
      </c>
    </row>
    <row r="303">
      <c r="A303" s="18"/>
      <c r="D303" s="31">
        <v>28.920000000000005</v>
      </c>
    </row>
    <row r="304">
      <c r="A304" s="19"/>
      <c r="D304" s="31">
        <v>31.179999999999996</v>
      </c>
    </row>
    <row r="305">
      <c r="A305" s="9">
        <v>223.0</v>
      </c>
      <c r="D305" s="31">
        <v>41.699999999999996</v>
      </c>
    </row>
    <row r="306">
      <c r="A306" s="18"/>
      <c r="D306" s="31">
        <v>41.64</v>
      </c>
    </row>
    <row r="307">
      <c r="A307" s="18"/>
      <c r="D307" s="31">
        <v>23.72</v>
      </c>
    </row>
    <row r="308">
      <c r="A308" s="19"/>
      <c r="D308" s="31">
        <v>45.85999999999999</v>
      </c>
    </row>
    <row r="309">
      <c r="A309" s="9">
        <v>231.0</v>
      </c>
      <c r="D309" s="31">
        <v>20.659999999999997</v>
      </c>
    </row>
    <row r="310">
      <c r="A310" s="18"/>
      <c r="D310" s="31">
        <v>20.759999999999998</v>
      </c>
    </row>
    <row r="311">
      <c r="A311" s="18"/>
      <c r="D311" s="31">
        <v>15.24</v>
      </c>
    </row>
    <row r="312">
      <c r="A312" s="19"/>
      <c r="D312" s="31">
        <v>20.749999999999996</v>
      </c>
    </row>
    <row r="313">
      <c r="A313" s="9">
        <v>232.0</v>
      </c>
      <c r="D313" s="31">
        <v>25.889999999999997</v>
      </c>
    </row>
    <row r="314">
      <c r="A314" s="18"/>
      <c r="D314" s="31">
        <v>25.950000000000003</v>
      </c>
    </row>
    <row r="315">
      <c r="A315" s="18"/>
      <c r="D315" s="31">
        <v>28.24</v>
      </c>
    </row>
    <row r="316">
      <c r="A316" s="19"/>
      <c r="D316" s="31">
        <v>30.439999999999998</v>
      </c>
    </row>
    <row r="317">
      <c r="A317" s="9">
        <v>233.0</v>
      </c>
      <c r="D317" s="31">
        <v>30.19</v>
      </c>
    </row>
    <row r="318">
      <c r="A318" s="18"/>
      <c r="D318" s="31">
        <v>21.54</v>
      </c>
    </row>
    <row r="319">
      <c r="A319" s="18"/>
      <c r="D319" s="31">
        <v>8.58</v>
      </c>
    </row>
    <row r="320">
      <c r="A320" s="19"/>
      <c r="D320" s="31">
        <v>38.809999999999995</v>
      </c>
    </row>
    <row r="321">
      <c r="A321" s="9">
        <v>251.0</v>
      </c>
      <c r="D321" s="31">
        <v>44.93</v>
      </c>
    </row>
    <row r="322">
      <c r="A322" s="18"/>
      <c r="D322" s="31">
        <v>44.379999999999995</v>
      </c>
    </row>
    <row r="323">
      <c r="A323" s="18"/>
      <c r="D323" s="31">
        <v>60.59</v>
      </c>
    </row>
    <row r="324">
      <c r="A324" s="19"/>
      <c r="D324" s="31">
        <v>57.0</v>
      </c>
    </row>
    <row r="325">
      <c r="A325" s="9">
        <v>252.0</v>
      </c>
      <c r="D325" s="31">
        <v>37.76</v>
      </c>
    </row>
    <row r="326">
      <c r="A326" s="18"/>
      <c r="D326" s="31">
        <v>33.72</v>
      </c>
    </row>
    <row r="327">
      <c r="A327" s="18"/>
      <c r="D327" s="31">
        <v>49.97</v>
      </c>
    </row>
    <row r="328">
      <c r="A328" s="19"/>
      <c r="D328" s="31">
        <v>46.37</v>
      </c>
    </row>
    <row r="329">
      <c r="A329" s="9">
        <v>253.0</v>
      </c>
      <c r="D329" s="31">
        <v>42.13999999999999</v>
      </c>
    </row>
    <row r="330">
      <c r="A330" s="18"/>
      <c r="D330" s="31">
        <v>42.089999999999996</v>
      </c>
    </row>
    <row r="331">
      <c r="A331" s="18"/>
      <c r="D331" s="31">
        <v>58.01</v>
      </c>
    </row>
    <row r="332">
      <c r="A332" s="19"/>
      <c r="D332" s="31">
        <v>50.31999999999999</v>
      </c>
    </row>
    <row r="333">
      <c r="A333" s="9">
        <v>261.0</v>
      </c>
      <c r="D333" s="31">
        <v>28.729999999999997</v>
      </c>
    </row>
    <row r="334">
      <c r="A334" s="18"/>
      <c r="D334" s="31">
        <v>24.569999999999997</v>
      </c>
    </row>
    <row r="335">
      <c r="A335" s="18"/>
      <c r="D335" s="31">
        <v>7.83</v>
      </c>
    </row>
    <row r="336">
      <c r="A336" s="19"/>
      <c r="D336" s="31">
        <v>33.17</v>
      </c>
    </row>
    <row r="337">
      <c r="A337" s="9">
        <v>262.0</v>
      </c>
      <c r="D337" s="31">
        <v>68.01</v>
      </c>
    </row>
    <row r="338">
      <c r="A338" s="18"/>
      <c r="D338" s="31">
        <v>38.64</v>
      </c>
    </row>
    <row r="339">
      <c r="A339" s="18"/>
      <c r="D339" s="31">
        <v>12.849999999999998</v>
      </c>
    </row>
    <row r="340">
      <c r="A340" s="19"/>
      <c r="D340" s="31">
        <v>68.11999999999999</v>
      </c>
    </row>
    <row r="341">
      <c r="A341" s="9">
        <v>263.0</v>
      </c>
      <c r="D341" s="31">
        <v>23.68</v>
      </c>
    </row>
    <row r="342">
      <c r="A342" s="18"/>
      <c r="D342" s="31">
        <v>23.759999999999998</v>
      </c>
    </row>
    <row r="343">
      <c r="A343" s="18"/>
      <c r="D343" s="31">
        <v>6.73</v>
      </c>
    </row>
    <row r="344">
      <c r="A344" s="19"/>
      <c r="D344" s="31">
        <v>36.00000000000001</v>
      </c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</sheetData>
  <mergeCells count="84">
    <mergeCell ref="A205:A208"/>
    <mergeCell ref="A209:A212"/>
    <mergeCell ref="A213:A216"/>
    <mergeCell ref="A217:A220"/>
    <mergeCell ref="A221:A224"/>
    <mergeCell ref="A225:A228"/>
    <mergeCell ref="A229:A232"/>
    <mergeCell ref="A233:A236"/>
    <mergeCell ref="A237:A240"/>
    <mergeCell ref="A241:A244"/>
    <mergeCell ref="A245:A248"/>
    <mergeCell ref="A249:A252"/>
    <mergeCell ref="A253:A256"/>
    <mergeCell ref="A257:A260"/>
    <mergeCell ref="A261:A264"/>
    <mergeCell ref="A265:A268"/>
    <mergeCell ref="A269:A272"/>
    <mergeCell ref="A273:A276"/>
    <mergeCell ref="A277:A280"/>
    <mergeCell ref="A281:A284"/>
    <mergeCell ref="A285:A288"/>
    <mergeCell ref="A317:A320"/>
    <mergeCell ref="A321:A324"/>
    <mergeCell ref="A325:A328"/>
    <mergeCell ref="A329:A332"/>
    <mergeCell ref="A333:A336"/>
    <mergeCell ref="A337:A340"/>
    <mergeCell ref="A341:A344"/>
    <mergeCell ref="A289:A292"/>
    <mergeCell ref="A293:A296"/>
    <mergeCell ref="A297:A300"/>
    <mergeCell ref="A301:A304"/>
    <mergeCell ref="A305:A308"/>
    <mergeCell ref="A309:A312"/>
    <mergeCell ref="A313:A316"/>
    <mergeCell ref="A3:A6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A55:A58"/>
    <mergeCell ref="A59:A62"/>
    <mergeCell ref="A63:A66"/>
    <mergeCell ref="A67:A70"/>
    <mergeCell ref="A71:A74"/>
    <mergeCell ref="A75:A78"/>
    <mergeCell ref="A79:A82"/>
    <mergeCell ref="A83:A86"/>
    <mergeCell ref="A87:A90"/>
    <mergeCell ref="A91:A94"/>
    <mergeCell ref="A95:A98"/>
    <mergeCell ref="A99:A102"/>
    <mergeCell ref="A103:A106"/>
    <mergeCell ref="A107:A110"/>
    <mergeCell ref="A111:A114"/>
    <mergeCell ref="A115:A118"/>
    <mergeCell ref="A119:A122"/>
    <mergeCell ref="A123:A126"/>
    <mergeCell ref="A127:A130"/>
    <mergeCell ref="A131:A134"/>
    <mergeCell ref="A135:A138"/>
    <mergeCell ref="A139:A142"/>
    <mergeCell ref="A143:A146"/>
    <mergeCell ref="A147:A150"/>
    <mergeCell ref="A151:A154"/>
    <mergeCell ref="A155:A158"/>
    <mergeCell ref="A159:A162"/>
    <mergeCell ref="A163:A166"/>
    <mergeCell ref="A167:A170"/>
    <mergeCell ref="A171:A174"/>
    <mergeCell ref="A175:A178"/>
    <mergeCell ref="A179:A182"/>
    <mergeCell ref="A183:A186"/>
    <mergeCell ref="A187:A190"/>
    <mergeCell ref="A191:A194"/>
    <mergeCell ref="A195:A198"/>
    <mergeCell ref="A201:A204"/>
  </mergeCells>
  <drawing r:id="rId1"/>
</worksheet>
</file>